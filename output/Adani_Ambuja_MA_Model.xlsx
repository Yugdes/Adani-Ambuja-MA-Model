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Deal &amp; Financing" sheetId="4" state="visible" r:id="rId4"/>
    <sheet xmlns:r="http://schemas.openxmlformats.org/officeDocument/2006/relationships" name="PPA &amp; Goodwill" sheetId="5" state="visible" r:id="rId5"/>
    <sheet xmlns:r="http://schemas.openxmlformats.org/officeDocument/2006/relationships" name="Projections" sheetId="6" state="visible" r:id="rId6"/>
    <sheet xmlns:r="http://schemas.openxmlformats.org/officeDocument/2006/relationships" name="Synergies" sheetId="7" state="visible" r:id="rId7"/>
    <sheet xmlns:r="http://schemas.openxmlformats.org/officeDocument/2006/relationships" name="Pro Forma &amp; Returns" sheetId="8" state="visible" r:id="rId8"/>
    <sheet xmlns:r="http://schemas.openxmlformats.org/officeDocument/2006/relationships" name="Balance Sheet" sheetId="9" state="visible" r:id="rId9"/>
    <sheet xmlns:r="http://schemas.openxmlformats.org/officeDocument/2006/relationships" name="Precedents" sheetId="10" state="visible" r:id="rId10"/>
    <sheet xmlns:r="http://schemas.openxmlformats.org/officeDocument/2006/relationships" name="Sensitivity" sheetId="11" state="visible" r:id="rId11"/>
    <sheet xmlns:r="http://schemas.openxmlformats.org/officeDocument/2006/relationships" name="Historic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0%;(0.00%);&quot;–&quot;"/>
    <numFmt numFmtId="165" formatCode="0.0000"/>
    <numFmt numFmtId="166" formatCode="#,##0.0;(#,##0.0);&quot;–&quot;"/>
    <numFmt numFmtId="167" formatCode="0.0%;(0.0%);&quot;–&quot;"/>
    <numFmt numFmtId="168" formatCode="#,##0;(#,##0);&quot;–&quot;"/>
    <numFmt numFmtId="169" formatCode="0.00&quot;x&quot;"/>
    <numFmt numFmtId="170" formatCode="0.0&quot;x&quot;"/>
    <numFmt numFmtId="171" formatCode="&quot;₹&quot;#,##0"/>
  </numFmts>
  <fonts count="7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top style="thin">
        <color rgb="00BFBFBF"/>
      </top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6" fillId="4" borderId="0" pivotButton="0" quotePrefix="0" xfId="0"/>
    <xf numFmtId="165" fontId="0" fillId="0" borderId="0" pivotButton="0" quotePrefix="0" xfId="0"/>
    <xf numFmtId="168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4" fontId="5" fillId="3" borderId="0" pivotButton="0" quotePrefix="0" xfId="0"/>
    <xf numFmtId="164" fontId="5" fillId="3" borderId="0" pivotButton="0" quotePrefix="0" xfId="0"/>
    <xf numFmtId="165" fontId="5" fillId="3" borderId="0" pivotButton="0" quotePrefix="0" xfId="0"/>
    <xf numFmtId="166" fontId="5" fillId="3" borderId="0" pivotButton="0" quotePrefix="0" xfId="0"/>
    <xf numFmtId="167" fontId="5" fillId="3" borderId="0" pivotButton="0" quotePrefix="0" xfId="0"/>
    <xf numFmtId="1" fontId="5" fillId="3" borderId="0" pivotButton="0" quotePrefix="0" xfId="0"/>
    <xf numFmtId="0" fontId="3" fillId="2" borderId="0" applyAlignment="1" pivotButton="0" quotePrefix="0" xfId="0">
      <alignment horizontal="right"/>
    </xf>
    <xf numFmtId="168" fontId="5" fillId="3" borderId="0" pivotButton="0" quotePrefix="0" xfId="0"/>
    <xf numFmtId="165" fontId="4" fillId="0" borderId="0" pivotButton="0" quotePrefix="0" xfId="0"/>
    <xf numFmtId="168" fontId="4" fillId="0" borderId="0" pivotButton="0" quotePrefix="0" xfId="0"/>
    <xf numFmtId="168" fontId="6" fillId="0" borderId="1" pivotButton="0" quotePrefix="0" xfId="0"/>
    <xf numFmtId="4" fontId="4" fillId="0" borderId="0" pivotButton="0" quotePrefix="0" xfId="0"/>
    <xf numFmtId="164" fontId="4" fillId="0" borderId="0" pivotButton="0" quotePrefix="0" xfId="0"/>
    <xf numFmtId="167" fontId="4" fillId="0" borderId="0" pivotButton="0" quotePrefix="0" xfId="0"/>
    <xf numFmtId="169" fontId="4" fillId="0" borderId="0" pivotButton="0" quotePrefix="0" xfId="0"/>
    <xf numFmtId="170" fontId="4" fillId="0" borderId="0" pivotButton="0" quotePrefix="0" xfId="0"/>
    <xf numFmtId="0" fontId="0" fillId="2" borderId="0" applyAlignment="1" pivotButton="0" quotePrefix="0" xfId="0">
      <alignment horizontal="right"/>
    </xf>
    <xf numFmtId="164" fontId="6" fillId="0" borderId="1" pivotButton="0" quotePrefix="0" xfId="0"/>
    <xf numFmtId="9" fontId="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171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70" customWidth="1" min="8" max="8"/>
  </cols>
  <sheetData>
    <row r="1">
      <c r="B1" s="1" t="inlineStr">
        <is>
          <t>Adani Group / Ambuja Cements &amp; ACC — Merger Consequences Model</t>
        </is>
      </c>
    </row>
    <row r="2">
      <c r="B2" s="2" t="inlineStr">
        <is>
          <t>INR crore unless stated. Deal announced 15-May-2022, completed 16-Sep-2022.</t>
        </is>
      </c>
    </row>
    <row r="4">
      <c r="B4" s="3" t="inlineStr">
        <is>
          <t>How this workbook works</t>
        </is>
      </c>
      <c r="C4" s="4" t="n"/>
      <c r="D4" s="4" t="n"/>
      <c r="E4" s="4" t="n"/>
      <c r="F4" s="4" t="n"/>
      <c r="G4" s="4" t="n"/>
      <c r="H4" s="4" t="n"/>
    </row>
    <row r="5">
      <c r="B5" s="2" t="inlineStr">
        <is>
          <t>Blue cells on a yellow background are inputs (all on the 'Inputs' sheet; synergy items on 'Synergies'; deal data on 'Precedents').</t>
        </is>
      </c>
    </row>
    <row r="6">
      <c r="B6" s="2" t="inlineStr">
        <is>
          <t>Black cells are live Excel formulas. Change any input and the workbook recalculates.</t>
        </is>
      </c>
    </row>
    <row r="7">
      <c r="B7" s="2" t="inlineStr">
        <is>
          <t>'Checks' tests the model's integrity and reconciles every formula against the Python model (python run_model.py).</t>
        </is>
      </c>
    </row>
    <row r="8">
      <c r="B8" s="2" t="inlineStr">
        <is>
          <t>'Sensitivity' is static: each cell is a full re-run of the Python model with one input changed.</t>
        </is>
      </c>
    </row>
    <row r="9">
      <c r="B9" s="2" t="inlineStr">
        <is>
          <t>'Historicals' holds filed CY2019-CY2021 standalone figures used as the projection base.</t>
        </is>
      </c>
    </row>
    <row r="10">
      <c r="B10" s="2" t="inlineStr">
        <is>
          <t>Assumptions are labelled [ASSUMPTION] with a rationale; filed data cite their source.</t>
        </is>
      </c>
    </row>
    <row r="12">
      <c r="B12" s="3" t="inlineStr">
        <is>
          <t>Sources</t>
        </is>
      </c>
      <c r="C12" s="4" t="n"/>
      <c r="D12" s="4" t="n"/>
      <c r="E12" s="4" t="n"/>
      <c r="F12" s="4" t="n"/>
      <c r="G12" s="4" t="n"/>
      <c r="H12" s="4" t="n"/>
    </row>
    <row r="13">
      <c r="B13" s="5" t="inlineStr">
        <is>
          <t>holcim_release</t>
        </is>
      </c>
      <c r="C13" s="5" t="inlineStr">
        <is>
          <t>Holcim media release, May-2022 — https://www.holcim.com/media/media-releases/holcim-india-business-acquired</t>
        </is>
      </c>
    </row>
    <row r="14">
      <c r="B14" s="5" t="inlineStr">
        <is>
          <t>adani_release</t>
        </is>
      </c>
      <c r="C14" s="5" t="inlineStr">
        <is>
          <t>Adani media release, 16-Sep-2022 — https://www.adani.com/newsroom/media-releases/adani-becomes-indias-second-largest-cement-player</t>
        </is>
      </c>
    </row>
    <row r="15">
      <c r="B15" s="5" t="inlineStr">
        <is>
          <t>bs_open_offer</t>
        </is>
      </c>
      <c r="C15" s="5" t="inlineStr">
        <is>
          <t>Business Standard, 10-Sep-2022 — https://www.business-standard.com/article/companies/ambuja-cements-acc-receive-lukewarm-response-from-public-shareholders-122091000362_1.html</t>
        </is>
      </c>
    </row>
    <row r="16">
      <c r="B16" s="5" t="inlineStr">
        <is>
          <t>bs_refi</t>
        </is>
      </c>
      <c r="C16" s="5" t="inlineStr">
        <is>
          <t>Business Standard, 1-Dec-2022 — https://www.business-standard.com/article/companies/adani-group-to-refinance-ambuja-cement-acc-debt-worth-3-5-billion-122120100944_1.html</t>
        </is>
      </c>
    </row>
    <row r="17">
      <c r="B17" s="5" t="inlineStr">
        <is>
          <t>screener_ambuja</t>
        </is>
      </c>
      <c r="C17" s="5" t="inlineStr">
        <is>
          <t>Ambuja standalone financials (company filings via Screener) — https://www.screener.in/company/AMBUJACEM/</t>
        </is>
      </c>
    </row>
    <row r="18">
      <c r="B18" s="5" t="inlineStr">
        <is>
          <t>screener_acc</t>
        </is>
      </c>
      <c r="C18" s="5" t="inlineStr">
        <is>
          <t>ACC standalone financials (company filings via Screener) — https://www.screener.in/company/ACC/</t>
        </is>
      </c>
    </row>
    <row r="19">
      <c r="B19" s="5" t="inlineStr">
        <is>
          <t>nse_prices</t>
        </is>
      </c>
      <c r="C19" s="5" t="inlineStr">
        <is>
          <t>NSE daily closes (Yahoo Finance history: AMBUJACEM.NS, ACC.NS, USDINR=X)</t>
        </is>
      </c>
    </row>
    <row r="20">
      <c r="B20" s="5" t="inlineStr">
        <is>
          <t>bs_jaypee_2013</t>
        </is>
      </c>
      <c r="C20" s="5" t="inlineStr">
        <is>
          <t>Business Standard, 12-Sep-2013 — https://www.business-standard.com/article/companies/birla-buys-jaypee-s-gujarat-cement-unit-for-rs-3-800-cr-113091200054_1.html</t>
        </is>
      </c>
    </row>
    <row r="21">
      <c r="B21" s="5" t="inlineStr">
        <is>
          <t>bs_jaypee_2016</t>
        </is>
      </c>
      <c r="C21" s="5" t="inlineStr">
        <is>
          <t>Business Standard, 5-Jul-2016 — https://www.business-standard.com/article/markets/jp-deal-big-leap-for-ultratech-116070501043_1.html</t>
        </is>
      </c>
    </row>
    <row r="22">
      <c r="B22" s="5" t="inlineStr">
        <is>
          <t>bs_lafarge_2016</t>
        </is>
      </c>
      <c r="C22" s="5" t="inlineStr">
        <is>
          <t>Business Standard, 11-Jul-2016 — https://www.business-standard.com/article/companies/nirma-cements-1-4-bn-lafarge-india-buyout-116071100403_1.html</t>
        </is>
      </c>
    </row>
    <row r="23">
      <c r="B23" s="5" t="inlineStr">
        <is>
          <t>li_century_2018</t>
        </is>
      </c>
      <c r="C23" s="5" t="inlineStr">
        <is>
          <t>Legally India, 22-May-2018 (EV) — https://www.legallyindia.com/corporatemna/trilegal-khaitan-vaish-on-ultratech-cem-s-buy-of-century-textile-s-cement-biz-20180522-9362 ; capacity per CARE Ratings report on UltraTech</t>
        </is>
      </c>
    </row>
    <row r="24">
      <c r="B24" s="5" t="inlineStr">
        <is>
          <t>bs_binani_2018</t>
        </is>
      </c>
      <c r="C24" s="5" t="inlineStr">
        <is>
          <t>Business Standard, 25-Dec-2019 (Kotak estimate of EV) — https://www.business-standard.com/amp/article/companies/ultratech-cement-street-watchful-on-valuations-of-new-acquisition-119122500555_1.html</t>
        </is>
      </c>
    </row>
    <row r="25">
      <c r="B25" s="5" t="inlineStr">
        <is>
          <t>nuvoco_emami_2020</t>
        </is>
      </c>
      <c r="C25" s="5" t="inlineStr">
        <is>
          <t>Nuvoco press release, Feb-2020 — https://admin.nuvoco.com/public/MediaRalationsDetails/Nirma%20Group%20announces%20the%20acquisition%20of%20Emami%20Cement%20-%20Feb%202020.pdf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27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8" customWidth="1" min="2" max="2"/>
    <col width="10" customWidth="1" min="3" max="3"/>
    <col width="16" customWidth="1" min="4" max="4"/>
    <col width="16" customWidth="1" min="5" max="5"/>
    <col width="10" customWidth="1" min="6" max="6"/>
    <col width="3" customWidth="1" min="7" max="7"/>
    <col width="70" customWidth="1" min="8" max="8"/>
  </cols>
  <sheetData>
    <row r="1">
      <c r="B1" s="1" t="inlineStr">
        <is>
          <t>Checks</t>
        </is>
      </c>
    </row>
    <row r="2">
      <c r="B2" s="2" t="inlineStr">
        <is>
          <t>Integrity checks (formulas) and Python reconciliation. Every row should read OK.</t>
        </is>
      </c>
    </row>
    <row r="3">
      <c r="B3" s="6" t="inlineStr">
        <is>
          <t>OVERALL STATUS</t>
        </is>
      </c>
      <c r="C3" s="6" t="str">
        <f>IF(AND(COUNTIF(C5:C13,"OK")=9,COUNTIF(F17:F273,"OK")=257),"ALL CHECKS OK","CHECK FAILURES")</f>
        <v>ALL CHECKS OK</v>
      </c>
    </row>
    <row r="4">
      <c r="B4" s="3" t="inlineStr">
        <is>
          <t>Integrity checks</t>
        </is>
      </c>
      <c r="C4" s="4" t="n"/>
      <c r="D4" s="4" t="n"/>
      <c r="E4" s="4" t="n"/>
      <c r="F4" s="4" t="n"/>
      <c r="G4" s="4" t="n"/>
      <c r="H4" s="4" t="n"/>
    </row>
    <row r="5">
      <c r="B5" t="inlineStr">
        <is>
          <t>Balance sheet balances</t>
        </is>
      </c>
      <c r="C5" t="str">
        <f>IF(ABS('Balance Sheet'!$C$13-'Balance Sheet'!$C$22)&lt;1,"OK","FAIL")</f>
        <v>OK</v>
      </c>
    </row>
    <row r="6">
      <c r="B6" t="inlineStr">
        <is>
          <t>Sources = uses</t>
        </is>
      </c>
      <c r="C6" t="str">
        <f>IF(ABS('Deal &amp; Financing'!$C$20-'Deal &amp; Financing'!$C$13)&lt;1,"OK","FAIL")</f>
        <v>OK</v>
      </c>
    </row>
    <row r="7">
      <c r="B7" t="inlineStr">
        <is>
          <t>Sponsor equity is positive</t>
        </is>
      </c>
      <c r="C7" t="str">
        <f>IF('Deal &amp; Financing'!$C$19&gt;0,"OK","FAIL")</f>
        <v>OK</v>
      </c>
    </row>
    <row r="8">
      <c r="B8" t="inlineStr">
        <is>
          <t>Look-through consideration = consideration paid</t>
        </is>
      </c>
      <c r="C8" t="str">
        <f>IF(ABS('PPA &amp; Goodwill'!$C$22+'PPA &amp; Goodwill'!$C$23-'Deal &amp; Financing'!$C$10)&lt;1,"OK","FAIL")</f>
        <v>OK</v>
      </c>
    </row>
    <row r="9">
      <c r="B9" t="inlineStr">
        <is>
          <t>Ownership ties to Adani release: Ambuja (±0.05pp)</t>
        </is>
      </c>
      <c r="C9" t="str">
        <f>IF(ABS('Deal &amp; Financing'!$C$24-'Inputs'!$C$21)&lt;0.0005,"OK","FAIL")</f>
        <v>OK</v>
      </c>
    </row>
    <row r="10">
      <c r="B10" t="inlineStr">
        <is>
          <t>Ownership ties to Adani release: ACC (±0.05pp)</t>
        </is>
      </c>
      <c r="C10" t="str">
        <f>IF(ABS('Deal &amp; Financing'!$C$26-'Inputs'!$C$22)&lt;0.0005,"OK","FAIL")</f>
        <v>OK</v>
      </c>
    </row>
    <row r="11">
      <c r="B11" t="inlineStr">
        <is>
          <t>Consideration within 3% of reported US$6.5bn</t>
        </is>
      </c>
      <c r="C11" t="str">
        <f>IF(ABS('Deal &amp; Financing'!$C$11/'Inputs'!$C$20-1)&lt;0.03,"OK","FAIL")</f>
        <v>OK</v>
      </c>
    </row>
    <row r="12">
      <c r="B12" t="inlineStr">
        <is>
          <t>Goodwill positive for both entities</t>
        </is>
      </c>
      <c r="C12" t="str">
        <f>IF(AND('PPA &amp; Goodwill'!$C$26&gt;0,'PPA &amp; Goodwill'!$C$27&gt;0),"OK","FAIL")</f>
        <v>OK</v>
      </c>
    </row>
    <row r="13">
      <c r="B13" t="inlineStr">
        <is>
          <t>Attributable + NCI = consolidated NI (all years)</t>
        </is>
      </c>
      <c r="C13" t="str">
        <f>IF(ABS(SUM('Pro Forma &amp; Returns'!$D$23:$F$23)+SUM('Pro Forma &amp; Returns'!$D$24:$F$24)-SUM('Pro Forma &amp; Returns'!$D$15:$F$15))&lt;1,"OK","FAIL")</f>
        <v>OK</v>
      </c>
    </row>
    <row r="15">
      <c r="B15" s="3" t="inlineStr">
        <is>
          <t>Python reconciliation (formula value vs Python model)</t>
        </is>
      </c>
      <c r="C15" s="4" t="n"/>
      <c r="D15" s="4" t="n"/>
      <c r="E15" s="4" t="n"/>
      <c r="F15" s="4" t="n"/>
      <c r="G15" s="4" t="n"/>
      <c r="H15" s="4" t="n"/>
    </row>
    <row r="16">
      <c r="B16" s="7" t="inlineStr">
        <is>
          <t>Item</t>
        </is>
      </c>
      <c r="C16" s="7" t="inlineStr">
        <is>
          <t>Year</t>
        </is>
      </c>
      <c r="D16" s="7" t="inlineStr">
        <is>
          <t>Excel formula</t>
        </is>
      </c>
      <c r="E16" s="7" t="inlineStr">
        <is>
          <t>Python</t>
        </is>
      </c>
      <c r="F16" s="7" t="inlineStr">
        <is>
          <t>Status</t>
        </is>
      </c>
    </row>
    <row r="17">
      <c r="B17" t="inlineStr">
        <is>
          <t>Ambuja shares bought from Holcim</t>
        </is>
      </c>
      <c r="C17" t="inlineStr"/>
      <c r="D17" s="8">
        <f>'Deal &amp; Financing'!$C$4</f>
        <v>125.311216</v>
      </c>
      <c r="E17" s="8" t="n">
        <v>125.311216</v>
      </c>
      <c r="F17" t="str">
        <f>IF(ABS(D17-E17)&lt;0.000001,"OK","DIFF")</f>
        <v>OK</v>
      </c>
    </row>
    <row r="18">
      <c r="B18" t="inlineStr">
        <is>
          <t>ACC shares bought from Holcim (direct)</t>
        </is>
      </c>
      <c r="C18" t="inlineStr"/>
      <c r="D18" s="8">
        <f>'Deal &amp; Financing'!$C$5</f>
        <v>0.8413440000000001</v>
      </c>
      <c r="E18" s="8" t="n">
        <v>0.8413440000000001</v>
      </c>
      <c r="F18" t="str">
        <f>IF(ABS(D18-E18)&lt;0.000001,"OK","DIFF")</f>
        <v>OK</v>
      </c>
    </row>
    <row r="19">
      <c r="B19" t="inlineStr">
        <is>
          <t>Holcim Ambuja stake</t>
        </is>
      </c>
      <c r="C19" t="inlineStr"/>
      <c r="D19" s="9">
        <f>'Deal &amp; Financing'!$C$6</f>
        <v>48244.81816</v>
      </c>
      <c r="E19" s="9" t="n">
        <v>48244.81816</v>
      </c>
      <c r="F19" t="str">
        <f>IF(ABS(D19-E19)&lt;0.5,"OK","DIFF")</f>
        <v>OK</v>
      </c>
    </row>
    <row r="20">
      <c r="B20" t="inlineStr">
        <is>
          <t>Holcim direct ACC stake</t>
        </is>
      </c>
      <c r="C20" t="inlineStr"/>
      <c r="D20" s="9">
        <f>'Deal &amp; Financing'!$C$7</f>
        <v>1935.0912000000003</v>
      </c>
      <c r="E20" s="9" t="n">
        <v>1935.0912</v>
      </c>
      <c r="F20" t="str">
        <f>IF(ABS(D20-E20)&lt;0.5,"OK","DIFF")</f>
        <v>OK</v>
      </c>
    </row>
    <row r="21">
      <c r="B21" t="inlineStr">
        <is>
          <t>Ambuja open offer (shares tendered)</t>
        </is>
      </c>
      <c r="C21" t="inlineStr"/>
      <c r="D21" s="9">
        <f>'Deal &amp; Financing'!$C$8</f>
        <v>27.9895</v>
      </c>
      <c r="E21" s="9" t="n">
        <v>27.9895</v>
      </c>
      <c r="F21" t="str">
        <f>IF(ABS(D21-E21)&lt;0.5,"OK","DIFF")</f>
        <v>OK</v>
      </c>
    </row>
    <row r="22">
      <c r="B22" t="inlineStr">
        <is>
          <t>ACC open offer (shares tendered)</t>
        </is>
      </c>
      <c r="C22" t="inlineStr"/>
      <c r="D22" s="9">
        <f>'Deal &amp; Financing'!$C$9</f>
        <v>934.0300000000001</v>
      </c>
      <c r="E22" s="9" t="n">
        <v>934.0300000000001</v>
      </c>
      <c r="F22" t="str">
        <f>IF(ABS(D22-E22)&lt;0.5,"OK","DIFF")</f>
        <v>OK</v>
      </c>
    </row>
    <row r="23">
      <c r="B23" t="inlineStr">
        <is>
          <t>Total consideration</t>
        </is>
      </c>
      <c r="C23" t="inlineStr"/>
      <c r="D23" s="9">
        <f>'Deal &amp; Financing'!$C$10</f>
        <v>51141.92886000001</v>
      </c>
      <c r="E23" s="9" t="n">
        <v>51141.92886000001</v>
      </c>
      <c r="F23" t="str">
        <f>IF(ABS(D23-E23)&lt;0.5,"OK","DIFF")</f>
        <v>OK</v>
      </c>
    </row>
    <row r="24">
      <c r="B24" t="inlineStr">
        <is>
          <t>Total consideration (US$ bn)</t>
        </is>
      </c>
      <c r="C24" t="inlineStr"/>
      <c r="D24" s="10">
        <f>'Deal &amp; Financing'!$C$11</f>
        <v>6.404750013775831</v>
      </c>
      <c r="E24" s="10" t="n">
        <v>6.404750013775831</v>
      </c>
      <c r="F24" t="str">
        <f>IF(ABS(D24-E24)&lt;0.000001,"OK","DIFF")</f>
        <v>OK</v>
      </c>
    </row>
    <row r="25">
      <c r="B25" t="inlineStr">
        <is>
          <t>Transaction costs</t>
        </is>
      </c>
      <c r="C25" t="inlineStr"/>
      <c r="D25" s="9">
        <f>'Deal &amp; Financing'!$C$12</f>
        <v>511.4192886000001</v>
      </c>
      <c r="E25" s="9" t="n">
        <v>511.4192886000001</v>
      </c>
      <c r="F25" t="str">
        <f>IF(ABS(D25-E25)&lt;0.5,"OK","DIFF")</f>
        <v>OK</v>
      </c>
    </row>
    <row r="26">
      <c r="B26" t="inlineStr">
        <is>
          <t>Total uses</t>
        </is>
      </c>
      <c r="C26" t="inlineStr"/>
      <c r="D26" s="9">
        <f>'Deal &amp; Financing'!$C$13</f>
        <v>51653.34814860001</v>
      </c>
      <c r="E26" s="9" t="n">
        <v>51653.34814860001</v>
      </c>
      <c r="F26" t="str">
        <f>IF(ABS(D26-E26)&lt;0.5,"OK","DIFF")</f>
        <v>OK</v>
      </c>
    </row>
    <row r="27">
      <c r="B27" t="inlineStr">
        <is>
          <t>Acquisition debt (INR)</t>
        </is>
      </c>
      <c r="C27" t="inlineStr"/>
      <c r="D27" s="9">
        <f>'Deal &amp; Financing'!$C$16</f>
        <v>35932.5</v>
      </c>
      <c r="E27" s="9" t="n">
        <v>35932.5</v>
      </c>
      <c r="F27" t="str">
        <f>IF(ABS(D27-E27)&lt;0.5,"OK","DIFF")</f>
        <v>OK</v>
      </c>
    </row>
    <row r="28">
      <c r="B28" t="inlineStr">
        <is>
          <t xml:space="preserve">  of which bridge</t>
        </is>
      </c>
      <c r="C28" t="inlineStr"/>
      <c r="D28" s="9">
        <f>'Deal &amp; Financing'!$C$17</f>
        <v>27947.499999999996</v>
      </c>
      <c r="E28" s="9" t="n">
        <v>27947.5</v>
      </c>
      <c r="F28" t="str">
        <f>IF(ABS(D28-E28)&lt;0.5,"OK","DIFF")</f>
        <v>OK</v>
      </c>
    </row>
    <row r="29">
      <c r="B29" t="inlineStr">
        <is>
          <t xml:space="preserve">  of which term loan</t>
        </is>
      </c>
      <c r="C29" t="inlineStr"/>
      <c r="D29" s="9">
        <f>'Deal &amp; Financing'!$C$18</f>
        <v>7985.000000000004</v>
      </c>
      <c r="E29" s="9" t="n">
        <v>7985.000000000004</v>
      </c>
      <c r="F29" t="str">
        <f>IF(ABS(D29-E29)&lt;0.5,"OK","DIFF")</f>
        <v>OK</v>
      </c>
    </row>
    <row r="30">
      <c r="B30" t="inlineStr">
        <is>
          <t>Sponsor equity (balancing item)</t>
        </is>
      </c>
      <c r="C30" t="inlineStr"/>
      <c r="D30" s="9">
        <f>'Deal &amp; Financing'!$C$19</f>
        <v>15720.84814860001</v>
      </c>
      <c r="E30" s="9" t="n">
        <v>15720.84814860001</v>
      </c>
      <c r="F30" t="str">
        <f>IF(ABS(D30-E30)&lt;0.5,"OK","DIFF")</f>
        <v>OK</v>
      </c>
    </row>
    <row r="31">
      <c r="B31" t="inlineStr">
        <is>
          <t>Total sources</t>
        </is>
      </c>
      <c r="C31" t="inlineStr"/>
      <c r="D31" s="9">
        <f>'Deal &amp; Financing'!$C$20</f>
        <v>51653.34814860001</v>
      </c>
      <c r="E31" s="9" t="n">
        <v>51653.34814860001</v>
      </c>
      <c r="F31" t="str">
        <f>IF(ABS(D31-E31)&lt;0.5,"OK","DIFF")</f>
        <v>OK</v>
      </c>
    </row>
    <row r="32">
      <c r="B32" t="inlineStr">
        <is>
          <t>Adani stake in Ambuja</t>
        </is>
      </c>
      <c r="C32" t="inlineStr"/>
      <c r="D32" s="11">
        <f>'Deal &amp; Financing'!$C$24</f>
        <v>0.6314661361804996</v>
      </c>
      <c r="E32" s="11" t="n">
        <v>0.6314661361804996</v>
      </c>
      <c r="F32" t="str">
        <f>IF(ABS(D32-E32)&lt;0.000001,"OK","DIFF")</f>
        <v>OK</v>
      </c>
    </row>
    <row r="33">
      <c r="B33" t="inlineStr">
        <is>
          <t>Adani direct stake in ACC</t>
        </is>
      </c>
      <c r="C33" t="inlineStr"/>
      <c r="D33" s="11">
        <f>'Deal &amp; Financing'!$C$25</f>
        <v>0.0664240681576145</v>
      </c>
      <c r="E33" s="11" t="n">
        <v>0.06642406815761449</v>
      </c>
      <c r="F33" t="str">
        <f>IF(ABS(D33-E33)&lt;0.000001,"OK","DIFF")</f>
        <v>OK</v>
      </c>
    </row>
    <row r="34">
      <c r="B34" t="inlineStr">
        <is>
          <t>Adani-controlled stake in ACC (direct + via Ambuja)</t>
        </is>
      </c>
      <c r="C34" t="inlineStr"/>
      <c r="D34" s="11">
        <f>'Deal &amp; Financing'!$C$26</f>
        <v>0.5669240681576144</v>
      </c>
      <c r="E34" s="11" t="n">
        <v>0.5669240681576144</v>
      </c>
      <c r="F34" t="str">
        <f>IF(ABS(D34-E34)&lt;0.000001,"OK","DIFF")</f>
        <v>OK</v>
      </c>
    </row>
    <row r="35">
      <c r="B35" t="inlineStr">
        <is>
          <t>Adani look-through economic stake in ACC</t>
        </is>
      </c>
      <c r="C35" t="inlineStr"/>
      <c r="D35" s="11">
        <f>'Deal &amp; Financing'!$C$27</f>
        <v>0.38247286931595453</v>
      </c>
      <c r="E35" s="11" t="n">
        <v>0.3824728693159545</v>
      </c>
      <c r="F35" t="str">
        <f>IF(ABS(D35-E35)&lt;0.000001,"OK","DIFF")</f>
        <v>OK</v>
      </c>
    </row>
    <row r="36">
      <c r="B36" t="inlineStr">
        <is>
          <t>Ambuja premium to undisturbed close</t>
        </is>
      </c>
      <c r="C36" t="inlineStr"/>
      <c r="D36" s="12">
        <f>'Deal &amp; Financing'!$C$30</f>
        <v>0.07212475633528248</v>
      </c>
      <c r="E36" s="12" t="n">
        <v>0.07212475633528248</v>
      </c>
      <c r="F36" t="str">
        <f>IF(ABS(D36-E36)&lt;0.000001,"OK","DIFF")</f>
        <v>OK</v>
      </c>
    </row>
    <row r="37">
      <c r="B37" t="inlineStr">
        <is>
          <t>ACC premium to undisturbed close</t>
        </is>
      </c>
      <c r="C37" t="inlineStr"/>
      <c r="D37" s="12">
        <f>'Deal &amp; Financing'!$C$31</f>
        <v>0.08834524203851779</v>
      </c>
      <c r="E37" s="12" t="n">
        <v>0.08834524203851778</v>
      </c>
      <c r="F37" t="str">
        <f>IF(ABS(D37-E37)&lt;0.000001,"OK","DIFF")</f>
        <v>OK</v>
      </c>
    </row>
    <row r="38">
      <c r="B38" t="inlineStr">
        <is>
          <t>Premium paid over undisturbed value</t>
        </is>
      </c>
      <c r="C38" t="inlineStr"/>
      <c r="D38" s="9">
        <f>'Deal &amp; Financing'!$C$32</f>
        <v>3480.341219199997</v>
      </c>
      <c r="E38" s="9" t="n">
        <v>3480.341219199997</v>
      </c>
      <c r="F38" t="str">
        <f>IF(ABS(D38-E38)&lt;0.5,"OK","DIFF")</f>
        <v>OK</v>
      </c>
    </row>
    <row r="39">
      <c r="B39" t="inlineStr">
        <is>
          <t>Market value of stakes at completion-day close</t>
        </is>
      </c>
      <c r="C39" t="inlineStr"/>
      <c r="D39" s="9">
        <f>'Deal &amp; Financing'!$C$33</f>
        <v>68043.5694032</v>
      </c>
      <c r="E39" s="9" t="n">
        <v>68043.5694032</v>
      </c>
      <c r="F39" t="str">
        <f>IF(ABS(D39-E39)&lt;0.5,"OK","DIFF")</f>
        <v>OK</v>
      </c>
    </row>
    <row r="40">
      <c r="B40" t="inlineStr">
        <is>
          <t>Unlevered cost of capital (rf + βa × ERP)</t>
        </is>
      </c>
      <c r="C40" t="inlineStr"/>
      <c r="D40" s="11">
        <f>'Deal &amp; Financing'!$C$36</f>
        <v>0.12775</v>
      </c>
      <c r="E40" s="11" t="n">
        <v>0.12775</v>
      </c>
      <c r="F40" t="str">
        <f>IF(ABS(D40-E40)&lt;0.000001,"OK","DIFF")</f>
        <v>OK</v>
      </c>
    </row>
    <row r="41">
      <c r="B41" t="inlineStr">
        <is>
          <t>Holdco debt / equity at cost</t>
        </is>
      </c>
      <c r="C41" t="inlineStr"/>
      <c r="D41" s="13">
        <f>'Deal &amp; Financing'!$C$37</f>
        <v>2.3625147486307374</v>
      </c>
      <c r="E41" s="13" t="n">
        <v>2.362514748630737</v>
      </c>
      <c r="F41" t="str">
        <f>IF(ABS(D41-E41)&lt;0.000001,"OK","DIFF")</f>
        <v>OK</v>
      </c>
    </row>
    <row r="42">
      <c r="B42" t="inlineStr">
        <is>
          <t>Relevered beta (Hamada; no shield unless deductible)</t>
        </is>
      </c>
      <c r="C42" t="inlineStr"/>
      <c r="D42" s="10">
        <f>'Deal &amp; Financing'!$C$38</f>
        <v>2.8581375363361268</v>
      </c>
      <c r="E42" s="10" t="n">
        <v>2.858137536336127</v>
      </c>
      <c r="F42" t="str">
        <f>IF(ABS(D42-E42)&lt;0.000001,"OK","DIFF")</f>
        <v>OK</v>
      </c>
    </row>
    <row r="43">
      <c r="B43" t="inlineStr">
        <is>
          <t>Levered cost of equity on sponsor equity</t>
        </is>
      </c>
      <c r="C43" t="inlineStr"/>
      <c r="D43" s="11">
        <f>'Deal &amp; Financing'!$C$39</f>
        <v>0.25827893986184824</v>
      </c>
      <c r="E43" s="11" t="n">
        <v>0.2582789398618482</v>
      </c>
      <c r="F43" t="str">
        <f>IF(ABS(D43-E43)&lt;0.000001,"OK","DIFF")</f>
        <v>OK</v>
      </c>
    </row>
    <row r="44">
      <c r="B44" t="inlineStr">
        <is>
          <t>100% equity value (Ambuja + ACC minority 49.95%)</t>
        </is>
      </c>
      <c r="C44" t="inlineStr"/>
      <c r="D44" s="9">
        <f>'Deal &amp; Financing'!$C$42</f>
        <v>98021.00300000001</v>
      </c>
      <c r="E44" s="9" t="n">
        <v>98021.00300000001</v>
      </c>
      <c r="F44" t="str">
        <f>IF(ABS(D44-E44)&lt;0.5,"OK","DIFF")</f>
        <v>OK</v>
      </c>
    </row>
    <row r="45">
      <c r="B45" t="inlineStr">
        <is>
          <t>Net debt 31-Dec-2021 (net cash shown negative)</t>
        </is>
      </c>
      <c r="C45" t="inlineStr"/>
      <c r="D45" s="9">
        <f>'Deal &amp; Financing'!$C$43</f>
        <v>-11095.0</v>
      </c>
      <c r="E45" s="9" t="n">
        <v>-11095</v>
      </c>
      <c r="F45" t="str">
        <f>IF(ABS(D45-E45)&lt;0.5,"OK","DIFF")</f>
        <v>OK</v>
      </c>
    </row>
    <row r="46">
      <c r="B46" t="inlineStr">
        <is>
          <t>Enterprise value</t>
        </is>
      </c>
      <c r="C46" t="inlineStr"/>
      <c r="D46" s="9">
        <f>'Deal &amp; Financing'!$C$44</f>
        <v>86926.00300000001</v>
      </c>
      <c r="E46" s="9" t="n">
        <v>86926.00300000001</v>
      </c>
      <c r="F46" t="str">
        <f>IF(ABS(D46-E46)&lt;0.5,"OK","DIFF")</f>
        <v>OK</v>
      </c>
    </row>
    <row r="47">
      <c r="B47" t="inlineStr">
        <is>
          <t>EV / EBITDA CY2021</t>
        </is>
      </c>
      <c r="C47" t="inlineStr"/>
      <c r="D47" s="14">
        <f>'Deal &amp; Financing'!$C$45</f>
        <v>13.986484794851169</v>
      </c>
      <c r="E47" s="14" t="n">
        <v>13.98648479485117</v>
      </c>
      <c r="F47" t="str">
        <f>IF(ABS(D47-E47)&lt;0.000001,"OK","DIFF")</f>
        <v>OK</v>
      </c>
    </row>
    <row r="48">
      <c r="B48" t="inlineStr">
        <is>
          <t>EV per tonne of capacity (₹)</t>
        </is>
      </c>
      <c r="C48" t="inlineStr"/>
      <c r="D48" s="9">
        <f>'Deal &amp; Financing'!$C$46</f>
        <v>12877.926370370373</v>
      </c>
      <c r="E48" s="9" t="n">
        <v>12877.92637037037</v>
      </c>
      <c r="F48" t="str">
        <f>IF(ABS(D48-E48)&lt;0.5,"OK","DIFF")</f>
        <v>OK</v>
      </c>
    </row>
    <row r="49">
      <c r="B49" t="inlineStr">
        <is>
          <t>EV per tonne of capacity (US$)</t>
        </is>
      </c>
      <c r="C49" t="inlineStr"/>
      <c r="D49" s="9">
        <f>'Deal &amp; Financing'!$C$47</f>
        <v>161.27647301653568</v>
      </c>
      <c r="E49" s="9" t="n">
        <v>161.2764730165357</v>
      </c>
      <c r="F49" t="str">
        <f>IF(ABS(D49-E49)&lt;0.5,"OK","DIFF")</f>
        <v>OK</v>
      </c>
    </row>
    <row r="50">
      <c r="B50" t="inlineStr">
        <is>
          <t>Gross fair-value step-ups</t>
        </is>
      </c>
      <c r="C50" t="inlineStr"/>
      <c r="D50" s="9">
        <f>'PPA &amp; Goodwill'!$C$5</f>
        <v>12530.0</v>
      </c>
      <c r="E50" s="9" t="n">
        <v>12530</v>
      </c>
      <c r="F50" t="str">
        <f>IF(ABS(D50-E50)&lt;0.5,"OK","DIFF")</f>
        <v>OK</v>
      </c>
    </row>
    <row r="51">
      <c r="B51" t="inlineStr">
        <is>
          <t>Deferred tax liability on step-ups</t>
        </is>
      </c>
      <c r="C51" t="inlineStr"/>
      <c r="D51" s="9">
        <f>'PPA &amp; Goodwill'!$C$6</f>
        <v>3153.801</v>
      </c>
      <c r="E51" s="9" t="n">
        <v>3153.801</v>
      </c>
      <c r="F51" t="str">
        <f>IF(ABS(D51-E51)&lt;0.5,"OK","DIFF")</f>
        <v>OK</v>
      </c>
    </row>
    <row r="52">
      <c r="B52" t="inlineStr">
        <is>
          <t>Book equity 31-Dec-2021</t>
        </is>
      </c>
      <c r="C52" t="inlineStr"/>
      <c r="D52" s="9">
        <f>'PPA &amp; Goodwill'!$C$7</f>
        <v>22205.0</v>
      </c>
      <c r="E52" s="9" t="n">
        <v>22205</v>
      </c>
      <c r="F52" t="str">
        <f>IF(ABS(D52-E52)&lt;0.5,"OK","DIFF")</f>
        <v>OK</v>
      </c>
    </row>
    <row r="53">
      <c r="B53" t="inlineStr">
        <is>
          <t>Less: investments eliminated (ACC stake valued separately)</t>
        </is>
      </c>
      <c r="C53" t="inlineStr"/>
      <c r="D53" s="9">
        <f>'PPA &amp; Goodwill'!$C$8</f>
        <v>11774.0</v>
      </c>
      <c r="E53" s="9" t="n">
        <v>11774</v>
      </c>
      <c r="F53" t="str">
        <f>IF(ABS(D53-E53)&lt;0.5,"OK","DIFF")</f>
        <v>OK</v>
      </c>
    </row>
    <row r="54">
      <c r="B54" t="inlineStr">
        <is>
          <t>FV of identifiable net assets (Ambuja ex-ACC)</t>
        </is>
      </c>
      <c r="C54" t="inlineStr"/>
      <c r="D54" s="9">
        <f>'PPA &amp; Goodwill'!$C$9</f>
        <v>19807.199</v>
      </c>
      <c r="E54" s="9" t="n">
        <v>19807.199</v>
      </c>
      <c r="F54" t="str">
        <f>IF(ABS(D54-E54)&lt;0.5,"OK","DIFF")</f>
        <v>OK</v>
      </c>
    </row>
    <row r="55">
      <c r="B55" t="inlineStr">
        <is>
          <t>Annual amortisation of step-ups</t>
        </is>
      </c>
      <c r="C55" t="inlineStr"/>
      <c r="D55" s="9">
        <f>'PPA &amp; Goodwill'!$C$10</f>
        <v>636.6666666666666</v>
      </c>
      <c r="E55" s="9" t="n">
        <v>636.6666666666666</v>
      </c>
      <c r="F55" t="str">
        <f>IF(ABS(D55-E55)&lt;0.5,"OK","DIFF")</f>
        <v>OK</v>
      </c>
    </row>
    <row r="56">
      <c r="B56" t="inlineStr">
        <is>
          <t>Gross fair-value step-ups</t>
        </is>
      </c>
      <c r="C56" t="inlineStr"/>
      <c r="D56" s="9">
        <f>'PPA &amp; Goodwill'!$C$13</f>
        <v>10390.0</v>
      </c>
      <c r="E56" s="9" t="n">
        <v>10390</v>
      </c>
      <c r="F56" t="str">
        <f>IF(ABS(D56-E56)&lt;0.5,"OK","DIFF")</f>
        <v>OK</v>
      </c>
    </row>
    <row r="57">
      <c r="B57" t="inlineStr">
        <is>
          <t>Deferred tax liability on step-ups</t>
        </is>
      </c>
      <c r="C57" t="inlineStr"/>
      <c r="D57" s="9">
        <f>'PPA &amp; Goodwill'!$C$14</f>
        <v>2615.163</v>
      </c>
      <c r="E57" s="9" t="n">
        <v>2615.163</v>
      </c>
      <c r="F57" t="str">
        <f>IF(ABS(D57-E57)&lt;0.5,"OK","DIFF")</f>
        <v>OK</v>
      </c>
    </row>
    <row r="58">
      <c r="B58" t="inlineStr">
        <is>
          <t>Book equity 31-Dec-2021</t>
        </is>
      </c>
      <c r="C58" t="inlineStr"/>
      <c r="D58" s="9">
        <f>'PPA &amp; Goodwill'!$C$15</f>
        <v>14228.0</v>
      </c>
      <c r="E58" s="9" t="n">
        <v>14228</v>
      </c>
      <c r="F58" t="str">
        <f>IF(ABS(D58-E58)&lt;0.5,"OK","DIFF")</f>
        <v>OK</v>
      </c>
    </row>
    <row r="59">
      <c r="B59" t="inlineStr">
        <is>
          <t>FV of identifiable net assets (ACC)</t>
        </is>
      </c>
      <c r="C59" t="inlineStr"/>
      <c r="D59" s="9">
        <f>'PPA &amp; Goodwill'!$C$16</f>
        <v>22002.837</v>
      </c>
      <c r="E59" s="9" t="n">
        <v>22002.837</v>
      </c>
      <c r="F59" t="str">
        <f>IF(ABS(D59-E59)&lt;0.5,"OK","DIFF")</f>
        <v>OK</v>
      </c>
    </row>
    <row r="60">
      <c r="B60" t="inlineStr">
        <is>
          <t>Annual amortisation of step-ups</t>
        </is>
      </c>
      <c r="C60" t="inlineStr"/>
      <c r="D60" s="9">
        <f>'PPA &amp; Goodwill'!$C$17</f>
        <v>531.3333333333334</v>
      </c>
      <c r="E60" s="9" t="n">
        <v>531.3333333333334</v>
      </c>
      <c r="F60" t="str">
        <f>IF(ABS(D60-E60)&lt;0.5,"OK","DIFF")</f>
        <v>OK</v>
      </c>
    </row>
    <row r="61">
      <c r="B61" t="inlineStr">
        <is>
          <t>ACC 100% equity at offer price</t>
        </is>
      </c>
      <c r="C61" t="inlineStr"/>
      <c r="D61" s="9">
        <f>'PPA &amp; Goodwill'!$C$20</f>
        <v>43194.0</v>
      </c>
      <c r="E61" s="9" t="n">
        <v>43194</v>
      </c>
      <c r="F61" t="str">
        <f>IF(ABS(D61-E61)&lt;0.5,"OK","DIFF")</f>
        <v>OK</v>
      </c>
    </row>
    <row r="62">
      <c r="B62" t="inlineStr">
        <is>
          <t>ACC value embedded in Ambuja shares bought</t>
        </is>
      </c>
      <c r="C62" t="inlineStr"/>
      <c r="D62" s="9">
        <f>'PPA &amp; Goodwill'!$C$21</f>
        <v>13651.41191723334</v>
      </c>
      <c r="E62" s="9" t="n">
        <v>13651.41191723334</v>
      </c>
      <c r="F62" t="str">
        <f>IF(ABS(D62-E62)&lt;0.5,"OK","DIFF")</f>
        <v>OK</v>
      </c>
    </row>
    <row r="63">
      <c r="B63" t="inlineStr">
        <is>
          <t>Consideration attributable to Ambuja ex-ACC</t>
        </is>
      </c>
      <c r="C63" t="inlineStr"/>
      <c r="D63" s="9">
        <f>'PPA &amp; Goodwill'!$C$22</f>
        <v>34621.39574276667</v>
      </c>
      <c r="E63" s="9" t="n">
        <v>34621.39574276667</v>
      </c>
      <c r="F63" t="str">
        <f>IF(ABS(D63-E63)&lt;0.5,"OK","DIFF")</f>
        <v>OK</v>
      </c>
    </row>
    <row r="64">
      <c r="B64" t="inlineStr">
        <is>
          <t>Consideration attributable to ACC (look-through)</t>
        </is>
      </c>
      <c r="C64" t="inlineStr"/>
      <c r="D64" s="9">
        <f>'PPA &amp; Goodwill'!$C$23</f>
        <v>16520.53311723334</v>
      </c>
      <c r="E64" s="9" t="n">
        <v>16520.53311723334</v>
      </c>
      <c r="F64" t="str">
        <f>IF(ABS(D64-E64)&lt;0.5,"OK","DIFF")</f>
        <v>OK</v>
      </c>
    </row>
    <row r="65">
      <c r="B65" t="inlineStr">
        <is>
          <t>Adani share of Ambuja FV net assets</t>
        </is>
      </c>
      <c r="C65" t="inlineStr"/>
      <c r="D65" s="9">
        <f>'PPA &amp; Goodwill'!$C$24</f>
        <v>12507.575421088257</v>
      </c>
      <c r="E65" s="9" t="n">
        <v>12507.57542108826</v>
      </c>
      <c r="F65" t="str">
        <f>IF(ABS(D65-E65)&lt;0.5,"OK","DIFF")</f>
        <v>OK</v>
      </c>
    </row>
    <row r="66">
      <c r="B66" t="inlineStr">
        <is>
          <t>Adani share of ACC FV net assets</t>
        </is>
      </c>
      <c r="C66" t="inlineStr"/>
      <c r="D66" s="9">
        <f>'PPA &amp; Goodwill'!$C$25</f>
        <v>8415.48820048125</v>
      </c>
      <c r="E66" s="9" t="n">
        <v>8415.48820048125</v>
      </c>
      <c r="F66" t="str">
        <f>IF(ABS(D66-E66)&lt;0.5,"OK","DIFF")</f>
        <v>OK</v>
      </c>
    </row>
    <row r="67">
      <c r="B67" t="inlineStr">
        <is>
          <t>Goodwill — Ambuja</t>
        </is>
      </c>
      <c r="C67" t="inlineStr"/>
      <c r="D67" s="9">
        <f>'PPA &amp; Goodwill'!$C$26</f>
        <v>22113.82032167841</v>
      </c>
      <c r="E67" s="9" t="n">
        <v>22113.82032167841</v>
      </c>
      <c r="F67" t="str">
        <f>IF(ABS(D67-E67)&lt;0.5,"OK","DIFF")</f>
        <v>OK</v>
      </c>
    </row>
    <row r="68">
      <c r="B68" t="inlineStr">
        <is>
          <t>Goodwill — ACC</t>
        </is>
      </c>
      <c r="C68" t="inlineStr"/>
      <c r="D68" s="9">
        <f>'PPA &amp; Goodwill'!$C$27</f>
        <v>8105.044916752089</v>
      </c>
      <c r="E68" s="9" t="n">
        <v>8105.044916752089</v>
      </c>
      <c r="F68" t="str">
        <f>IF(ABS(D68-E68)&lt;0.5,"OK","DIFF")</f>
        <v>OK</v>
      </c>
    </row>
    <row r="69">
      <c r="B69" t="inlineStr">
        <is>
          <t>Total goodwill</t>
        </is>
      </c>
      <c r="C69" t="inlineStr"/>
      <c r="D69" s="9">
        <f>'PPA &amp; Goodwill'!$C$28</f>
        <v>30218.8652384305</v>
      </c>
      <c r="E69" s="9" t="n">
        <v>30218.8652384305</v>
      </c>
      <c r="F69" t="str">
        <f>IF(ABS(D69-E69)&lt;0.5,"OK","DIFF")</f>
        <v>OK</v>
      </c>
    </row>
    <row r="70">
      <c r="B70" t="inlineStr">
        <is>
          <t>Goodwill as % of consideration</t>
        </is>
      </c>
      <c r="C70" t="inlineStr"/>
      <c r="D70" s="12">
        <f>'PPA &amp; Goodwill'!$C$29</f>
        <v>0.590882391650773</v>
      </c>
      <c r="E70" s="12" t="n">
        <v>0.5908823916507731</v>
      </c>
      <c r="F70" t="str">
        <f>IF(ABS(D70-E70)&lt;0.000001,"OK","DIFF")</f>
        <v>OK</v>
      </c>
    </row>
    <row r="71">
      <c r="B71" t="inlineStr">
        <is>
          <t>New intangibles recognised (incl. brands)</t>
        </is>
      </c>
      <c r="C71" t="inlineStr"/>
      <c r="D71" s="9">
        <f>'PPA &amp; Goodwill'!$C$30</f>
        <v>16520.0</v>
      </c>
      <c r="E71" s="9" t="n">
        <v>16520</v>
      </c>
      <c r="F71" t="str">
        <f>IF(ABS(D71-E71)&lt;0.5,"OK","DIFF")</f>
        <v>OK</v>
      </c>
    </row>
    <row r="72">
      <c r="B72" t="inlineStr">
        <is>
          <t>ACC dividend received by Ambuja in CY2021</t>
        </is>
      </c>
      <c r="C72" t="inlineStr"/>
      <c r="D72" s="9">
        <f>'Projections'!$C$5</f>
        <v>131.59145999999998</v>
      </c>
      <c r="E72" s="9" t="n">
        <v>131.59146</v>
      </c>
      <c r="F72" t="str">
        <f>IF(ABS(D72-E72)&lt;0.5,"OK","DIFF")</f>
        <v>OK</v>
      </c>
    </row>
    <row r="73">
      <c r="B73" t="inlineStr">
        <is>
          <t>Treasury yield on cash</t>
        </is>
      </c>
      <c r="C73" t="inlineStr"/>
      <c r="D73" s="11">
        <f>'Projections'!$C$6</f>
        <v>0.03045355513307985</v>
      </c>
      <c r="E73" s="11" t="n">
        <v>0.03045355513307985</v>
      </c>
      <c r="F73" t="str">
        <f>IF(ABS(D73-E73)&lt;0.000001,"OK","DIFF")</f>
        <v>OK</v>
      </c>
    </row>
    <row r="74">
      <c r="B74" t="inlineStr">
        <is>
          <t>Revenue</t>
        </is>
      </c>
      <c r="C74" t="inlineStr">
        <is>
          <t>FY2023E</t>
        </is>
      </c>
      <c r="D74" s="9">
        <f>'Projections'!$D$9</f>
        <v>15656.480000000001</v>
      </c>
      <c r="E74" s="9" t="n">
        <v>15656.48</v>
      </c>
      <c r="F74" t="str">
        <f>IF(ABS(D74-E74)&lt;0.5,"OK","DIFF")</f>
        <v>OK</v>
      </c>
    </row>
    <row r="75">
      <c r="B75" t="inlineStr">
        <is>
          <t>Revenue</t>
        </is>
      </c>
      <c r="C75" t="inlineStr">
        <is>
          <t>FY2024E</t>
        </is>
      </c>
      <c r="D75" s="9">
        <f>'Projections'!$E$9</f>
        <v>17065.563200000004</v>
      </c>
      <c r="E75" s="9" t="n">
        <v>17065.5632</v>
      </c>
      <c r="F75" t="str">
        <f>IF(ABS(D75-E75)&lt;0.5,"OK","DIFF")</f>
        <v>OK</v>
      </c>
    </row>
    <row r="76">
      <c r="B76" t="inlineStr">
        <is>
          <t>Revenue</t>
        </is>
      </c>
      <c r="C76" t="inlineStr">
        <is>
          <t>FY2025E</t>
        </is>
      </c>
      <c r="D76" s="9">
        <f>'Projections'!$F$9</f>
        <v>18430.808256000004</v>
      </c>
      <c r="E76" s="9" t="n">
        <v>18430.808256</v>
      </c>
      <c r="F76" t="str">
        <f>IF(ABS(D76-E76)&lt;0.5,"OK","DIFF")</f>
        <v>OK</v>
      </c>
    </row>
    <row r="77">
      <c r="B77" t="inlineStr">
        <is>
          <t>EBITDA</t>
        </is>
      </c>
      <c r="C77" t="inlineStr">
        <is>
          <t>FY2023E</t>
        </is>
      </c>
      <c r="D77" s="9">
        <f>'Projections'!$D$10</f>
        <v>2818.1664</v>
      </c>
      <c r="E77" s="9" t="n">
        <v>2818.1664</v>
      </c>
      <c r="F77" t="str">
        <f>IF(ABS(D77-E77)&lt;0.5,"OK","DIFF")</f>
        <v>OK</v>
      </c>
    </row>
    <row r="78">
      <c r="B78" t="inlineStr">
        <is>
          <t>EBITDA</t>
        </is>
      </c>
      <c r="C78" t="inlineStr">
        <is>
          <t>FY2024E</t>
        </is>
      </c>
      <c r="D78" s="9">
        <f>'Projections'!$E$10</f>
        <v>3413.112640000001</v>
      </c>
      <c r="E78" s="9" t="n">
        <v>3413.112640000001</v>
      </c>
      <c r="F78" t="str">
        <f>IF(ABS(D78-E78)&lt;0.5,"OK","DIFF")</f>
        <v>OK</v>
      </c>
    </row>
    <row r="79">
      <c r="B79" t="inlineStr">
        <is>
          <t>EBITDA</t>
        </is>
      </c>
      <c r="C79" t="inlineStr">
        <is>
          <t>FY2025E</t>
        </is>
      </c>
      <c r="D79" s="9">
        <f>'Projections'!$F$10</f>
        <v>3870.4697337600005</v>
      </c>
      <c r="E79" s="9" t="n">
        <v>3870.469733760001</v>
      </c>
      <c r="F79" t="str">
        <f>IF(ABS(D79-E79)&lt;0.5,"OK","DIFF")</f>
        <v>OK</v>
      </c>
    </row>
    <row r="80">
      <c r="B80" t="inlineStr">
        <is>
          <t>Depreciation &amp; amortisation</t>
        </is>
      </c>
      <c r="C80" t="inlineStr">
        <is>
          <t>FY2023E</t>
        </is>
      </c>
      <c r="D80" s="9">
        <f>'Projections'!$D$11</f>
        <v>618.24</v>
      </c>
      <c r="E80" s="9" t="n">
        <v>618.24</v>
      </c>
      <c r="F80" t="str">
        <f>IF(ABS(D80-E80)&lt;0.5,"OK","DIFF")</f>
        <v>OK</v>
      </c>
    </row>
    <row r="81">
      <c r="B81" t="inlineStr">
        <is>
          <t>Depreciation &amp; amortisation</t>
        </is>
      </c>
      <c r="C81" t="inlineStr">
        <is>
          <t>FY2024E</t>
        </is>
      </c>
      <c r="D81" s="9">
        <f>'Projections'!$E$11</f>
        <v>673.8816000000002</v>
      </c>
      <c r="E81" s="9" t="n">
        <v>673.8816000000002</v>
      </c>
      <c r="F81" t="str">
        <f>IF(ABS(D81-E81)&lt;0.5,"OK","DIFF")</f>
        <v>OK</v>
      </c>
    </row>
    <row r="82">
      <c r="B82" t="inlineStr">
        <is>
          <t>Depreciation &amp; amortisation</t>
        </is>
      </c>
      <c r="C82" t="inlineStr">
        <is>
          <t>FY2025E</t>
        </is>
      </c>
      <c r="D82" s="9">
        <f>'Projections'!$F$11</f>
        <v>727.7921280000002</v>
      </c>
      <c r="E82" s="9" t="n">
        <v>727.7921280000002</v>
      </c>
      <c r="F82" t="str">
        <f>IF(ABS(D82-E82)&lt;0.5,"OK","DIFF")</f>
        <v>OK</v>
      </c>
    </row>
    <row r="83">
      <c r="B83" t="inlineStr">
        <is>
          <t>Treasury income</t>
        </is>
      </c>
      <c r="C83" t="inlineStr">
        <is>
          <t>FY2023E</t>
        </is>
      </c>
      <c r="D83" s="9">
        <f>'Projections'!$D$12</f>
        <v>126.96087134980989</v>
      </c>
      <c r="E83" s="9" t="n">
        <v>126.9608713498099</v>
      </c>
      <c r="F83" t="str">
        <f>IF(ABS(D83-E83)&lt;0.5,"OK","DIFF")</f>
        <v>OK</v>
      </c>
    </row>
    <row r="84">
      <c r="B84" t="inlineStr">
        <is>
          <t>Treasury income</t>
        </is>
      </c>
      <c r="C84" t="inlineStr">
        <is>
          <t>FY2024E</t>
        </is>
      </c>
      <c r="D84" s="9">
        <f>'Projections'!$E$12</f>
        <v>126.96087134980989</v>
      </c>
      <c r="E84" s="9" t="n">
        <v>126.9608713498099</v>
      </c>
      <c r="F84" t="str">
        <f>IF(ABS(D84-E84)&lt;0.5,"OK","DIFF")</f>
        <v>OK</v>
      </c>
    </row>
    <row r="85">
      <c r="B85" t="inlineStr">
        <is>
          <t>Treasury income</t>
        </is>
      </c>
      <c r="C85" t="inlineStr">
        <is>
          <t>FY2025E</t>
        </is>
      </c>
      <c r="D85" s="9">
        <f>'Projections'!$F$12</f>
        <v>126.96087134980989</v>
      </c>
      <c r="E85" s="9" t="n">
        <v>126.9608713498099</v>
      </c>
      <c r="F85" t="str">
        <f>IF(ABS(D85-E85)&lt;0.5,"OK","DIFF")</f>
        <v>OK</v>
      </c>
    </row>
    <row r="86">
      <c r="B86" t="inlineStr">
        <is>
          <t>Interest expense</t>
        </is>
      </c>
      <c r="C86" t="inlineStr">
        <is>
          <t>FY2023E</t>
        </is>
      </c>
      <c r="D86" s="9">
        <f>'Projections'!$D$13</f>
        <v>91.0</v>
      </c>
      <c r="E86" s="9" t="n">
        <v>91</v>
      </c>
      <c r="F86" t="str">
        <f>IF(ABS(D86-E86)&lt;0.5,"OK","DIFF")</f>
        <v>OK</v>
      </c>
    </row>
    <row r="87">
      <c r="B87" t="inlineStr">
        <is>
          <t>Interest expense</t>
        </is>
      </c>
      <c r="C87" t="inlineStr">
        <is>
          <t>FY2024E</t>
        </is>
      </c>
      <c r="D87" s="9">
        <f>'Projections'!$E$13</f>
        <v>91.0</v>
      </c>
      <c r="E87" s="9" t="n">
        <v>91</v>
      </c>
      <c r="F87" t="str">
        <f>IF(ABS(D87-E87)&lt;0.5,"OK","DIFF")</f>
        <v>OK</v>
      </c>
    </row>
    <row r="88">
      <c r="B88" t="inlineStr">
        <is>
          <t>Interest expense</t>
        </is>
      </c>
      <c r="C88" t="inlineStr">
        <is>
          <t>FY2025E</t>
        </is>
      </c>
      <c r="D88" s="9">
        <f>'Projections'!$F$13</f>
        <v>91.0</v>
      </c>
      <c r="E88" s="9" t="n">
        <v>91</v>
      </c>
      <c r="F88" t="str">
        <f>IF(ABS(D88-E88)&lt;0.5,"OK","DIFF")</f>
        <v>OK</v>
      </c>
    </row>
    <row r="89">
      <c r="B89" t="inlineStr">
        <is>
          <t>Profit before tax</t>
        </is>
      </c>
      <c r="C89" t="inlineStr">
        <is>
          <t>FY2023E</t>
        </is>
      </c>
      <c r="D89" s="9">
        <f>'Projections'!$D$14</f>
        <v>2235.8872713498104</v>
      </c>
      <c r="E89" s="9" t="n">
        <v>2235.88727134981</v>
      </c>
      <c r="F89" t="str">
        <f>IF(ABS(D89-E89)&lt;0.5,"OK","DIFF")</f>
        <v>OK</v>
      </c>
    </row>
    <row r="90">
      <c r="B90" t="inlineStr">
        <is>
          <t>Profit before tax</t>
        </is>
      </c>
      <c r="C90" t="inlineStr">
        <is>
          <t>FY2024E</t>
        </is>
      </c>
      <c r="D90" s="9">
        <f>'Projections'!$E$14</f>
        <v>2775.191911349811</v>
      </c>
      <c r="E90" s="9" t="n">
        <v>2775.191911349811</v>
      </c>
      <c r="F90" t="str">
        <f>IF(ABS(D90-E90)&lt;0.5,"OK","DIFF")</f>
        <v>OK</v>
      </c>
    </row>
    <row r="91">
      <c r="B91" t="inlineStr">
        <is>
          <t>Profit before tax</t>
        </is>
      </c>
      <c r="C91" t="inlineStr">
        <is>
          <t>FY2025E</t>
        </is>
      </c>
      <c r="D91" s="9">
        <f>'Projections'!$F$14</f>
        <v>3178.6384771098105</v>
      </c>
      <c r="E91" s="9" t="n">
        <v>3178.638477109811</v>
      </c>
      <c r="F91" t="str">
        <f>IF(ABS(D91-E91)&lt;0.5,"OK","DIFF")</f>
        <v>OK</v>
      </c>
    </row>
    <row r="92">
      <c r="B92" t="inlineStr">
        <is>
          <t>Net income</t>
        </is>
      </c>
      <c r="C92" t="inlineStr">
        <is>
          <t>FY2023E</t>
        </is>
      </c>
      <c r="D92" s="9">
        <f>'Projections'!$D$15</f>
        <v>1673.114445151063</v>
      </c>
      <c r="E92" s="9" t="n">
        <v>1673.114445151063</v>
      </c>
      <c r="F92" t="str">
        <f>IF(ABS(D92-E92)&lt;0.5,"OK","DIFF")</f>
        <v>OK</v>
      </c>
    </row>
    <row r="93">
      <c r="B93" t="inlineStr">
        <is>
          <t>Net income</t>
        </is>
      </c>
      <c r="C93" t="inlineStr">
        <is>
          <t>FY2024E</t>
        </is>
      </c>
      <c r="D93" s="9">
        <f>'Projections'!$E$15</f>
        <v>2076.6761072630634</v>
      </c>
      <c r="E93" s="9" t="n">
        <v>2076.676107263063</v>
      </c>
      <c r="F93" t="str">
        <f>IF(ABS(D93-E93)&lt;0.5,"OK","DIFF")</f>
        <v>OK</v>
      </c>
    </row>
    <row r="94">
      <c r="B94" t="inlineStr">
        <is>
          <t>Net income</t>
        </is>
      </c>
      <c r="C94" t="inlineStr">
        <is>
          <t>FY2025E</t>
        </is>
      </c>
      <c r="D94" s="9">
        <f>'Projections'!$F$15</f>
        <v>2378.575172421271</v>
      </c>
      <c r="E94" s="9" t="n">
        <v>2378.575172421271</v>
      </c>
      <c r="F94" t="str">
        <f>IF(ABS(D94-E94)&lt;0.5,"OK","DIFF")</f>
        <v>OK</v>
      </c>
    </row>
    <row r="95">
      <c r="B95" t="inlineStr">
        <is>
          <t>Revenue</t>
        </is>
      </c>
      <c r="C95" t="inlineStr">
        <is>
          <t>FY2023E</t>
        </is>
      </c>
      <c r="D95" s="9">
        <f>'Projections'!$D$18</f>
        <v>18089.120000000003</v>
      </c>
      <c r="E95" s="9" t="n">
        <v>18089.12</v>
      </c>
      <c r="F95" t="str">
        <f>IF(ABS(D95-E95)&lt;0.5,"OK","DIFF")</f>
        <v>OK</v>
      </c>
    </row>
    <row r="96">
      <c r="B96" t="inlineStr">
        <is>
          <t>Revenue</t>
        </is>
      </c>
      <c r="C96" t="inlineStr">
        <is>
          <t>FY2024E</t>
        </is>
      </c>
      <c r="D96" s="9">
        <f>'Projections'!$E$18</f>
        <v>19717.140800000005</v>
      </c>
      <c r="E96" s="9" t="n">
        <v>19717.1408</v>
      </c>
      <c r="F96" t="str">
        <f>IF(ABS(D96-E96)&lt;0.5,"OK","DIFF")</f>
        <v>OK</v>
      </c>
    </row>
    <row r="97">
      <c r="B97" t="inlineStr">
        <is>
          <t>Revenue</t>
        </is>
      </c>
      <c r="C97" t="inlineStr">
        <is>
          <t>FY2025E</t>
        </is>
      </c>
      <c r="D97" s="9">
        <f>'Projections'!$F$18</f>
        <v>21294.512064000006</v>
      </c>
      <c r="E97" s="9" t="n">
        <v>21294.51206400001</v>
      </c>
      <c r="F97" t="str">
        <f>IF(ABS(D97-E97)&lt;0.5,"OK","DIFF")</f>
        <v>OK</v>
      </c>
    </row>
    <row r="98">
      <c r="B98" t="inlineStr">
        <is>
          <t>EBITDA</t>
        </is>
      </c>
      <c r="C98" t="inlineStr">
        <is>
          <t>FY2023E</t>
        </is>
      </c>
      <c r="D98" s="9">
        <f>'Projections'!$D$19</f>
        <v>2170.6944000000003</v>
      </c>
      <c r="E98" s="9" t="n">
        <v>2170.6944</v>
      </c>
      <c r="F98" t="str">
        <f>IF(ABS(D98-E98)&lt;0.5,"OK","DIFF")</f>
        <v>OK</v>
      </c>
    </row>
    <row r="99">
      <c r="B99" t="inlineStr">
        <is>
          <t>EBITDA</t>
        </is>
      </c>
      <c r="C99" t="inlineStr">
        <is>
          <t>FY2024E</t>
        </is>
      </c>
      <c r="D99" s="9">
        <f>'Projections'!$E$19</f>
        <v>2760.399712000001</v>
      </c>
      <c r="E99" s="9" t="n">
        <v>2760.399712000001</v>
      </c>
      <c r="F99" t="str">
        <f>IF(ABS(D99-E99)&lt;0.5,"OK","DIFF")</f>
        <v>OK</v>
      </c>
    </row>
    <row r="100">
      <c r="B100" t="inlineStr">
        <is>
          <t>EBITDA</t>
        </is>
      </c>
      <c r="C100" t="inlineStr">
        <is>
          <t>FY2025E</t>
        </is>
      </c>
      <c r="D100" s="9">
        <f>'Projections'!$F$19</f>
        <v>3194.176809600001</v>
      </c>
      <c r="E100" s="9" t="n">
        <v>3194.176809600001</v>
      </c>
      <c r="F100" t="str">
        <f>IF(ABS(D100-E100)&lt;0.5,"OK","DIFF")</f>
        <v>OK</v>
      </c>
    </row>
    <row r="101">
      <c r="B101" t="inlineStr">
        <is>
          <t>Depreciation &amp; amortisation</t>
        </is>
      </c>
      <c r="C101" t="inlineStr">
        <is>
          <t>FY2023E</t>
        </is>
      </c>
      <c r="D101" s="9">
        <f>'Projections'!$D$20</f>
        <v>668.6400000000001</v>
      </c>
      <c r="E101" s="9" t="n">
        <v>668.6400000000001</v>
      </c>
      <c r="F101" t="str">
        <f>IF(ABS(D101-E101)&lt;0.5,"OK","DIFF")</f>
        <v>OK</v>
      </c>
    </row>
    <row r="102">
      <c r="B102" t="inlineStr">
        <is>
          <t>Depreciation &amp; amortisation</t>
        </is>
      </c>
      <c r="C102" t="inlineStr">
        <is>
          <t>FY2024E</t>
        </is>
      </c>
      <c r="D102" s="9">
        <f>'Projections'!$E$20</f>
        <v>728.8176000000002</v>
      </c>
      <c r="E102" s="9" t="n">
        <v>728.8176000000002</v>
      </c>
      <c r="F102" t="str">
        <f>IF(ABS(D102-E102)&lt;0.5,"OK","DIFF")</f>
        <v>OK</v>
      </c>
    </row>
    <row r="103">
      <c r="B103" t="inlineStr">
        <is>
          <t>Depreciation &amp; amortisation</t>
        </is>
      </c>
      <c r="C103" t="inlineStr">
        <is>
          <t>FY2025E</t>
        </is>
      </c>
      <c r="D103" s="9">
        <f>'Projections'!$F$20</f>
        <v>787.1230080000001</v>
      </c>
      <c r="E103" s="9" t="n">
        <v>787.1230080000003</v>
      </c>
      <c r="F103" t="str">
        <f>IF(ABS(D103-E103)&lt;0.5,"OK","DIFF")</f>
        <v>OK</v>
      </c>
    </row>
    <row r="104">
      <c r="B104" t="inlineStr">
        <is>
          <t>Treasury income</t>
        </is>
      </c>
      <c r="C104" t="inlineStr">
        <is>
          <t>FY2023E</t>
        </is>
      </c>
      <c r="D104" s="9">
        <f>'Projections'!$D$21</f>
        <v>225.44766865019014</v>
      </c>
      <c r="E104" s="9" t="n">
        <v>225.4476686501901</v>
      </c>
      <c r="F104" t="str">
        <f>IF(ABS(D104-E104)&lt;0.5,"OK","DIFF")</f>
        <v>OK</v>
      </c>
    </row>
    <row r="105">
      <c r="B105" t="inlineStr">
        <is>
          <t>Treasury income</t>
        </is>
      </c>
      <c r="C105" t="inlineStr">
        <is>
          <t>FY2024E</t>
        </is>
      </c>
      <c r="D105" s="9">
        <f>'Projections'!$E$21</f>
        <v>225.44766865019014</v>
      </c>
      <c r="E105" s="9" t="n">
        <v>225.4476686501901</v>
      </c>
      <c r="F105" t="str">
        <f>IF(ABS(D105-E105)&lt;0.5,"OK","DIFF")</f>
        <v>OK</v>
      </c>
    </row>
    <row r="106">
      <c r="B106" t="inlineStr">
        <is>
          <t>Treasury income</t>
        </is>
      </c>
      <c r="C106" t="inlineStr">
        <is>
          <t>FY2025E</t>
        </is>
      </c>
      <c r="D106" s="9">
        <f>'Projections'!$F$21</f>
        <v>225.44766865019014</v>
      </c>
      <c r="E106" s="9" t="n">
        <v>225.4476686501901</v>
      </c>
      <c r="F106" t="str">
        <f>IF(ABS(D106-E106)&lt;0.5,"OK","DIFF")</f>
        <v>OK</v>
      </c>
    </row>
    <row r="107">
      <c r="B107" t="inlineStr">
        <is>
          <t>Interest expense</t>
        </is>
      </c>
      <c r="C107" t="inlineStr">
        <is>
          <t>FY2023E</t>
        </is>
      </c>
      <c r="D107" s="9">
        <f>'Projections'!$D$22</f>
        <v>55.0</v>
      </c>
      <c r="E107" s="9" t="n">
        <v>55</v>
      </c>
      <c r="F107" t="str">
        <f>IF(ABS(D107-E107)&lt;0.5,"OK","DIFF")</f>
        <v>OK</v>
      </c>
    </row>
    <row r="108">
      <c r="B108" t="inlineStr">
        <is>
          <t>Interest expense</t>
        </is>
      </c>
      <c r="C108" t="inlineStr">
        <is>
          <t>FY2024E</t>
        </is>
      </c>
      <c r="D108" s="9">
        <f>'Projections'!$E$22</f>
        <v>55.0</v>
      </c>
      <c r="E108" s="9" t="n">
        <v>55</v>
      </c>
      <c r="F108" t="str">
        <f>IF(ABS(D108-E108)&lt;0.5,"OK","DIFF")</f>
        <v>OK</v>
      </c>
    </row>
    <row r="109">
      <c r="B109" t="inlineStr">
        <is>
          <t>Interest expense</t>
        </is>
      </c>
      <c r="C109" t="inlineStr">
        <is>
          <t>FY2025E</t>
        </is>
      </c>
      <c r="D109" s="9">
        <f>'Projections'!$F$22</f>
        <v>55.0</v>
      </c>
      <c r="E109" s="9" t="n">
        <v>55</v>
      </c>
      <c r="F109" t="str">
        <f>IF(ABS(D109-E109)&lt;0.5,"OK","DIFF")</f>
        <v>OK</v>
      </c>
    </row>
    <row r="110">
      <c r="B110" t="inlineStr">
        <is>
          <t>Profit before tax</t>
        </is>
      </c>
      <c r="C110" t="inlineStr">
        <is>
          <t>FY2023E</t>
        </is>
      </c>
      <c r="D110" s="9">
        <f>'Projections'!$D$23</f>
        <v>1672.5020686501903</v>
      </c>
      <c r="E110" s="9" t="n">
        <v>1672.50206865019</v>
      </c>
      <c r="F110" t="str">
        <f>IF(ABS(D110-E110)&lt;0.5,"OK","DIFF")</f>
        <v>OK</v>
      </c>
    </row>
    <row r="111">
      <c r="B111" t="inlineStr">
        <is>
          <t>Profit before tax</t>
        </is>
      </c>
      <c r="C111" t="inlineStr">
        <is>
          <t>FY2024E</t>
        </is>
      </c>
      <c r="D111" s="9">
        <f>'Projections'!$E$23</f>
        <v>2202.029780650191</v>
      </c>
      <c r="E111" s="9" t="n">
        <v>2202.029780650191</v>
      </c>
      <c r="F111" t="str">
        <f>IF(ABS(D111-E111)&lt;0.5,"OK","DIFF")</f>
        <v>OK</v>
      </c>
    </row>
    <row r="112">
      <c r="B112" t="inlineStr">
        <is>
          <t>Profit before tax</t>
        </is>
      </c>
      <c r="C112" t="inlineStr">
        <is>
          <t>FY2025E</t>
        </is>
      </c>
      <c r="D112" s="9">
        <f>'Projections'!$F$23</f>
        <v>2577.5014702501912</v>
      </c>
      <c r="E112" s="9" t="n">
        <v>2577.501470250191</v>
      </c>
      <c r="F112" t="str">
        <f>IF(ABS(D112-E112)&lt;0.5,"OK","DIFF")</f>
        <v>OK</v>
      </c>
    </row>
    <row r="113">
      <c r="B113" t="inlineStr">
        <is>
          <t>Net income</t>
        </is>
      </c>
      <c r="C113" t="inlineStr">
        <is>
          <t>FY2023E</t>
        </is>
      </c>
      <c r="D113" s="9">
        <f>'Projections'!$D$24</f>
        <v>1251.5332979709374</v>
      </c>
      <c r="E113" s="9" t="n">
        <v>1251.533297970937</v>
      </c>
      <c r="F113" t="str">
        <f>IF(ABS(D113-E113)&lt;0.5,"OK","DIFF")</f>
        <v>OK</v>
      </c>
    </row>
    <row r="114">
      <c r="B114" t="inlineStr">
        <is>
          <t>Net income</t>
        </is>
      </c>
      <c r="C114" t="inlineStr">
        <is>
          <t>FY2024E</t>
        </is>
      </c>
      <c r="D114" s="9">
        <f>'Projections'!$E$24</f>
        <v>1647.7788848605378</v>
      </c>
      <c r="E114" s="9" t="n">
        <v>1647.778884860538</v>
      </c>
      <c r="F114" t="str">
        <f>IF(ABS(D114-E114)&lt;0.5,"OK","DIFF")</f>
        <v>OK</v>
      </c>
    </row>
    <row r="115">
      <c r="B115" t="inlineStr">
        <is>
          <t>Net income</t>
        </is>
      </c>
      <c r="C115" t="inlineStr">
        <is>
          <t>FY2025E</t>
        </is>
      </c>
      <c r="D115" s="9">
        <f>'Projections'!$F$24</f>
        <v>1928.744350188218</v>
      </c>
      <c r="E115" s="9" t="n">
        <v>1928.744350188218</v>
      </c>
      <c r="F115" t="str">
        <f>IF(ABS(D115-E115)&lt;0.5,"OK","DIFF")</f>
        <v>OK</v>
      </c>
    </row>
    <row r="116">
      <c r="B116" t="inlineStr">
        <is>
          <t>ACC dividends paid</t>
        </is>
      </c>
      <c r="C116" t="inlineStr">
        <is>
          <t>FY2023E</t>
        </is>
      </c>
      <c r="D116" s="9">
        <f>'Projections'!$D$27</f>
        <v>250.3066595941875</v>
      </c>
      <c r="E116" s="9" t="n">
        <v>250.3066595941875</v>
      </c>
      <c r="F116" t="str">
        <f>IF(ABS(D116-E116)&lt;0.5,"OK","DIFF")</f>
        <v>OK</v>
      </c>
    </row>
    <row r="117">
      <c r="B117" t="inlineStr">
        <is>
          <t>ACC dividends paid</t>
        </is>
      </c>
      <c r="C117" t="inlineStr">
        <is>
          <t>FY2024E</t>
        </is>
      </c>
      <c r="D117" s="9">
        <f>'Projections'!$E$27</f>
        <v>329.5557769721076</v>
      </c>
      <c r="E117" s="9" t="n">
        <v>329.5557769721076</v>
      </c>
      <c r="F117" t="str">
        <f>IF(ABS(D117-E117)&lt;0.5,"OK","DIFF")</f>
        <v>OK</v>
      </c>
    </row>
    <row r="118">
      <c r="B118" t="inlineStr">
        <is>
          <t>ACC dividends paid</t>
        </is>
      </c>
      <c r="C118" t="inlineStr">
        <is>
          <t>FY2025E</t>
        </is>
      </c>
      <c r="D118" s="9">
        <f>'Projections'!$F$27</f>
        <v>385.74887003764366</v>
      </c>
      <c r="E118" s="9" t="n">
        <v>385.7488700376437</v>
      </c>
      <c r="F118" t="str">
        <f>IF(ABS(D118-E118)&lt;0.5,"OK","DIFF")</f>
        <v>OK</v>
      </c>
    </row>
    <row r="119">
      <c r="B119" t="inlineStr">
        <is>
          <t xml:space="preserve">  of which to Ambuja</t>
        </is>
      </c>
      <c r="C119" t="inlineStr">
        <is>
          <t>FY2023E</t>
        </is>
      </c>
      <c r="D119" s="9">
        <f>'Projections'!$D$28</f>
        <v>125.27848312689083</v>
      </c>
      <c r="E119" s="9" t="n">
        <v>125.2784831268908</v>
      </c>
      <c r="F119" t="str">
        <f>IF(ABS(D119-E119)&lt;0.5,"OK","DIFF")</f>
        <v>OK</v>
      </c>
    </row>
    <row r="120">
      <c r="B120" t="inlineStr">
        <is>
          <t xml:space="preserve">  of which to Ambuja</t>
        </is>
      </c>
      <c r="C120" t="inlineStr">
        <is>
          <t>FY2024E</t>
        </is>
      </c>
      <c r="D120" s="9">
        <f>'Projections'!$E$28</f>
        <v>164.94266637453984</v>
      </c>
      <c r="E120" s="9" t="n">
        <v>164.9426663745398</v>
      </c>
      <c r="F120" t="str">
        <f>IF(ABS(D120-E120)&lt;0.5,"OK","DIFF")</f>
        <v>OK</v>
      </c>
    </row>
    <row r="121">
      <c r="B121" t="inlineStr">
        <is>
          <t xml:space="preserve">  of which to Ambuja</t>
        </is>
      </c>
      <c r="C121" t="inlineStr">
        <is>
          <t>FY2025E</t>
        </is>
      </c>
      <c r="D121" s="9">
        <f>'Projections'!$F$28</f>
        <v>193.06730945384064</v>
      </c>
      <c r="E121" s="9" t="n">
        <v>193.0673094538406</v>
      </c>
      <c r="F121" t="str">
        <f>IF(ABS(D121-E121)&lt;0.5,"OK","DIFF")</f>
        <v>OK</v>
      </c>
    </row>
    <row r="122">
      <c r="B122" t="inlineStr">
        <is>
          <t>Ambuja dividends paid (ACC dividends passed through, s.80M)</t>
        </is>
      </c>
      <c r="C122" t="inlineStr">
        <is>
          <t>FY2023E</t>
        </is>
      </c>
      <c r="D122" s="9">
        <f>'Projections'!$D$29</f>
        <v>359.6785856555908</v>
      </c>
      <c r="E122" s="9" t="n">
        <v>359.6785856555908</v>
      </c>
      <c r="F122" t="str">
        <f>IF(ABS(D122-E122)&lt;0.5,"OK","DIFF")</f>
        <v>OK</v>
      </c>
    </row>
    <row r="123">
      <c r="B123" t="inlineStr">
        <is>
          <t>Ambuja dividends paid (ACC dividends passed through, s.80M)</t>
        </is>
      </c>
      <c r="C123" t="inlineStr">
        <is>
          <t>FY2024E</t>
        </is>
      </c>
      <c r="D123" s="9">
        <f>'Projections'!$E$29</f>
        <v>448.3237547275207</v>
      </c>
      <c r="E123" s="9" t="n">
        <v>448.3237547275207</v>
      </c>
      <c r="F123" t="str">
        <f>IF(ABS(D123-E123)&lt;0.5,"OK","DIFF")</f>
        <v>OK</v>
      </c>
    </row>
    <row r="124">
      <c r="B124" t="inlineStr">
        <is>
          <t>Ambuja dividends paid (ACC dividends passed through, s.80M)</t>
        </is>
      </c>
      <c r="C124" t="inlineStr">
        <is>
          <t>FY2025E</t>
        </is>
      </c>
      <c r="D124" s="9">
        <f>'Projections'!$F$29</f>
        <v>514.3284963750224</v>
      </c>
      <c r="E124" s="9" t="n">
        <v>514.3284963750224</v>
      </c>
      <c r="F124" t="str">
        <f>IF(ABS(D124-E124)&lt;0.5,"OK","DIFF")</f>
        <v>OK</v>
      </c>
    </row>
    <row r="125">
      <c r="B125" t="inlineStr">
        <is>
          <t>Procurement (fly ash, gypsum, slag, coal)</t>
        </is>
      </c>
      <c r="C125" t="inlineStr">
        <is>
          <t>FY2023E</t>
        </is>
      </c>
      <c r="D125" s="9">
        <f>'Synergies'!$D$14</f>
        <v>255.0</v>
      </c>
      <c r="E125" s="9" t="n">
        <v>255</v>
      </c>
      <c r="F125" t="str">
        <f>IF(ABS(D125-E125)&lt;0.5,"OK","DIFF")</f>
        <v>OK</v>
      </c>
    </row>
    <row r="126">
      <c r="B126" t="inlineStr">
        <is>
          <t>Procurement (fly ash, gypsum, slag, coal)</t>
        </is>
      </c>
      <c r="C126" t="inlineStr">
        <is>
          <t>FY2024E</t>
        </is>
      </c>
      <c r="D126" s="9">
        <f>'Synergies'!$E$14</f>
        <v>595.0</v>
      </c>
      <c r="E126" s="9" t="n">
        <v>595</v>
      </c>
      <c r="F126" t="str">
        <f>IF(ABS(D126-E126)&lt;0.5,"OK","DIFF")</f>
        <v>OK</v>
      </c>
    </row>
    <row r="127">
      <c r="B127" t="inlineStr">
        <is>
          <t>Procurement (fly ash, gypsum, slag, coal)</t>
        </is>
      </c>
      <c r="C127" t="inlineStr">
        <is>
          <t>FY2025E</t>
        </is>
      </c>
      <c r="D127" s="9">
        <f>'Synergies'!$F$14</f>
        <v>850.0</v>
      </c>
      <c r="E127" s="9" t="n">
        <v>850</v>
      </c>
      <c r="F127" t="str">
        <f>IF(ABS(D127-E127)&lt;0.5,"OK","DIFF")</f>
        <v>OK</v>
      </c>
    </row>
    <row r="128">
      <c r="B128" t="inlineStr">
        <is>
          <t>Logistics &amp; freight (route rationalisation, ports)</t>
        </is>
      </c>
      <c r="C128" t="inlineStr">
        <is>
          <t>FY2023E</t>
        </is>
      </c>
      <c r="D128" s="9">
        <f>'Synergies'!$D$15</f>
        <v>124.0</v>
      </c>
      <c r="E128" s="9" t="n">
        <v>124</v>
      </c>
      <c r="F128" t="str">
        <f>IF(ABS(D128-E128)&lt;0.5,"OK","DIFF")</f>
        <v>OK</v>
      </c>
    </row>
    <row r="129">
      <c r="B129" t="inlineStr">
        <is>
          <t>Logistics &amp; freight (route rationalisation, ports)</t>
        </is>
      </c>
      <c r="C129" t="inlineStr">
        <is>
          <t>FY2024E</t>
        </is>
      </c>
      <c r="D129" s="9">
        <f>'Synergies'!$E$15</f>
        <v>372.0</v>
      </c>
      <c r="E129" s="9" t="n">
        <v>372</v>
      </c>
      <c r="F129" t="str">
        <f>IF(ABS(D129-E129)&lt;0.5,"OK","DIFF")</f>
        <v>OK</v>
      </c>
    </row>
    <row r="130">
      <c r="B130" t="inlineStr">
        <is>
          <t>Logistics &amp; freight (route rationalisation, ports)</t>
        </is>
      </c>
      <c r="C130" t="inlineStr">
        <is>
          <t>FY2025E</t>
        </is>
      </c>
      <c r="D130" s="9">
        <f>'Synergies'!$F$15</f>
        <v>620.0</v>
      </c>
      <c r="E130" s="9" t="n">
        <v>620</v>
      </c>
      <c r="F130" t="str">
        <f>IF(ABS(D130-E130)&lt;0.5,"OK","DIFF")</f>
        <v>OK</v>
      </c>
    </row>
    <row r="131">
      <c r="B131" t="inlineStr">
        <is>
          <t>SG&amp;A and shared services</t>
        </is>
      </c>
      <c r="C131" t="inlineStr">
        <is>
          <t>FY2023E</t>
        </is>
      </c>
      <c r="D131" s="9">
        <f>'Synergies'!$D$16</f>
        <v>192.0</v>
      </c>
      <c r="E131" s="9" t="n">
        <v>192</v>
      </c>
      <c r="F131" t="str">
        <f>IF(ABS(D131-E131)&lt;0.5,"OK","DIFF")</f>
        <v>OK</v>
      </c>
    </row>
    <row r="132">
      <c r="B132" t="inlineStr">
        <is>
          <t>SG&amp;A and shared services</t>
        </is>
      </c>
      <c r="C132" t="inlineStr">
        <is>
          <t>FY2024E</t>
        </is>
      </c>
      <c r="D132" s="9">
        <f>'Synergies'!$E$16</f>
        <v>384.0</v>
      </c>
      <c r="E132" s="9" t="n">
        <v>384</v>
      </c>
      <c r="F132" t="str">
        <f>IF(ABS(D132-E132)&lt;0.5,"OK","DIFF")</f>
        <v>OK</v>
      </c>
    </row>
    <row r="133">
      <c r="B133" t="inlineStr">
        <is>
          <t>SG&amp;A and shared services</t>
        </is>
      </c>
      <c r="C133" t="inlineStr">
        <is>
          <t>FY2025E</t>
        </is>
      </c>
      <c r="D133" s="9">
        <f>'Synergies'!$F$16</f>
        <v>480.0</v>
      </c>
      <c r="E133" s="9" t="n">
        <v>480</v>
      </c>
      <c r="F133" t="str">
        <f>IF(ABS(D133-E133)&lt;0.5,"OK","DIFF")</f>
        <v>OK</v>
      </c>
    </row>
    <row r="134">
      <c r="B134" t="inlineStr">
        <is>
          <t>Energy (fuel mix, WHRS, renewables)</t>
        </is>
      </c>
      <c r="C134" t="inlineStr">
        <is>
          <t>FY2023E</t>
        </is>
      </c>
      <c r="D134" s="9">
        <f>'Synergies'!$D$17</f>
        <v>57.0</v>
      </c>
      <c r="E134" s="9" t="n">
        <v>57</v>
      </c>
      <c r="F134" t="str">
        <f>IF(ABS(D134-E134)&lt;0.5,"OK","DIFF")</f>
        <v>OK</v>
      </c>
    </row>
    <row r="135">
      <c r="B135" t="inlineStr">
        <is>
          <t>Energy (fuel mix, WHRS, renewables)</t>
        </is>
      </c>
      <c r="C135" t="inlineStr">
        <is>
          <t>FY2024E</t>
        </is>
      </c>
      <c r="D135" s="9">
        <f>'Synergies'!$E$17</f>
        <v>190.0</v>
      </c>
      <c r="E135" s="9" t="n">
        <v>190</v>
      </c>
      <c r="F135" t="str">
        <f>IF(ABS(D135-E135)&lt;0.5,"OK","DIFF")</f>
        <v>OK</v>
      </c>
    </row>
    <row r="136">
      <c r="B136" t="inlineStr">
        <is>
          <t>Energy (fuel mix, WHRS, renewables)</t>
        </is>
      </c>
      <c r="C136" t="inlineStr">
        <is>
          <t>FY2025E</t>
        </is>
      </c>
      <c r="D136" s="9">
        <f>'Synergies'!$F$17</f>
        <v>380.0</v>
      </c>
      <c r="E136" s="9" t="n">
        <v>380</v>
      </c>
      <c r="F136" t="str">
        <f>IF(ABS(D136-E136)&lt;0.5,"OK","DIFF")</f>
        <v>OK</v>
      </c>
    </row>
    <row r="137">
      <c r="B137" t="inlineStr">
        <is>
          <t>Plant optimisation (clinker factor)</t>
        </is>
      </c>
      <c r="C137" t="inlineStr">
        <is>
          <t>FY2023E</t>
        </is>
      </c>
      <c r="D137" s="9">
        <f>'Synergies'!$D$18</f>
        <v>27.0</v>
      </c>
      <c r="E137" s="9" t="n">
        <v>27</v>
      </c>
      <c r="F137" t="str">
        <f>IF(ABS(D137-E137)&lt;0.5,"OK","DIFF")</f>
        <v>OK</v>
      </c>
    </row>
    <row r="138">
      <c r="B138" t="inlineStr">
        <is>
          <t>Plant optimisation (clinker factor)</t>
        </is>
      </c>
      <c r="C138" t="inlineStr">
        <is>
          <t>FY2024E</t>
        </is>
      </c>
      <c r="D138" s="9">
        <f>'Synergies'!$E$18</f>
        <v>121.5</v>
      </c>
      <c r="E138" s="9" t="n">
        <v>121.5</v>
      </c>
      <c r="F138" t="str">
        <f>IF(ABS(D138-E138)&lt;0.5,"OK","DIFF")</f>
        <v>OK</v>
      </c>
    </row>
    <row r="139">
      <c r="B139" t="inlineStr">
        <is>
          <t>Plant optimisation (clinker factor)</t>
        </is>
      </c>
      <c r="C139" t="inlineStr">
        <is>
          <t>FY2025E</t>
        </is>
      </c>
      <c r="D139" s="9">
        <f>'Synergies'!$F$18</f>
        <v>270.0</v>
      </c>
      <c r="E139" s="9" t="n">
        <v>270</v>
      </c>
      <c r="F139" t="str">
        <f>IF(ABS(D139-E139)&lt;0.5,"OK","DIFF")</f>
        <v>OK</v>
      </c>
    </row>
    <row r="140">
      <c r="B140" t="inlineStr">
        <is>
          <t>Revenue: cross-selling into new regions (EBITDA impact)</t>
        </is>
      </c>
      <c r="C140" t="inlineStr">
        <is>
          <t>FY2023E</t>
        </is>
      </c>
      <c r="D140" s="9">
        <f>'Synergies'!$D$19</f>
        <v>31.0</v>
      </c>
      <c r="E140" s="9" t="n">
        <v>31</v>
      </c>
      <c r="F140" t="str">
        <f>IF(ABS(D140-E140)&lt;0.5,"OK","DIFF")</f>
        <v>OK</v>
      </c>
    </row>
    <row r="141">
      <c r="B141" t="inlineStr">
        <is>
          <t>Revenue: cross-selling into new regions (EBITDA impact)</t>
        </is>
      </c>
      <c r="C141" t="inlineStr">
        <is>
          <t>FY2024E</t>
        </is>
      </c>
      <c r="D141" s="9">
        <f>'Synergies'!$E$19</f>
        <v>124.0</v>
      </c>
      <c r="E141" s="9" t="n">
        <v>124</v>
      </c>
      <c r="F141" t="str">
        <f>IF(ABS(D141-E141)&lt;0.5,"OK","DIFF")</f>
        <v>OK</v>
      </c>
    </row>
    <row r="142">
      <c r="B142" t="inlineStr">
        <is>
          <t>Revenue: cross-selling into new regions (EBITDA impact)</t>
        </is>
      </c>
      <c r="C142" t="inlineStr">
        <is>
          <t>FY2025E</t>
        </is>
      </c>
      <c r="D142" s="9">
        <f>'Synergies'!$F$19</f>
        <v>310.0</v>
      </c>
      <c r="E142" s="9" t="n">
        <v>310</v>
      </c>
      <c r="F142" t="str">
        <f>IF(ABS(D142-E142)&lt;0.5,"OK","DIFF")</f>
        <v>OK</v>
      </c>
    </row>
    <row r="143">
      <c r="B143" t="inlineStr">
        <is>
          <t>Revenue: pricing discipline (EBITDA impact)</t>
        </is>
      </c>
      <c r="C143" t="inlineStr">
        <is>
          <t>FY2023E</t>
        </is>
      </c>
      <c r="D143" s="9">
        <f>'Synergies'!$D$20</f>
        <v>47.5</v>
      </c>
      <c r="E143" s="9" t="n">
        <v>47.5</v>
      </c>
      <c r="F143" t="str">
        <f>IF(ABS(D143-E143)&lt;0.5,"OK","DIFF")</f>
        <v>OK</v>
      </c>
    </row>
    <row r="144">
      <c r="B144" t="inlineStr">
        <is>
          <t>Revenue: pricing discipline (EBITDA impact)</t>
        </is>
      </c>
      <c r="C144" t="inlineStr">
        <is>
          <t>FY2024E</t>
        </is>
      </c>
      <c r="D144" s="9">
        <f>'Synergies'!$E$20</f>
        <v>123.5</v>
      </c>
      <c r="E144" s="9" t="n">
        <v>123.5</v>
      </c>
      <c r="F144" t="str">
        <f>IF(ABS(D144-E144)&lt;0.5,"OK","DIFF")</f>
        <v>OK</v>
      </c>
    </row>
    <row r="145">
      <c r="B145" t="inlineStr">
        <is>
          <t>Revenue: pricing discipline (EBITDA impact)</t>
        </is>
      </c>
      <c r="C145" t="inlineStr">
        <is>
          <t>FY2025E</t>
        </is>
      </c>
      <c r="D145" s="9">
        <f>'Synergies'!$F$20</f>
        <v>190.0</v>
      </c>
      <c r="E145" s="9" t="n">
        <v>190</v>
      </c>
      <c r="F145" t="str">
        <f>IF(ABS(D145-E145)&lt;0.5,"OK","DIFF")</f>
        <v>OK</v>
      </c>
    </row>
    <row r="146">
      <c r="B146" t="inlineStr">
        <is>
          <t>Total synergies</t>
        </is>
      </c>
      <c r="C146" t="inlineStr">
        <is>
          <t>FY2023E</t>
        </is>
      </c>
      <c r="D146" s="9">
        <f>'Synergies'!$D$21</f>
        <v>733.5</v>
      </c>
      <c r="E146" s="9" t="n">
        <v>733.5</v>
      </c>
      <c r="F146" t="str">
        <f>IF(ABS(D146-E146)&lt;0.5,"OK","DIFF")</f>
        <v>OK</v>
      </c>
    </row>
    <row r="147">
      <c r="B147" t="inlineStr">
        <is>
          <t>Total synergies</t>
        </is>
      </c>
      <c r="C147" t="inlineStr">
        <is>
          <t>FY2024E</t>
        </is>
      </c>
      <c r="D147" s="9">
        <f>'Synergies'!$E$21</f>
        <v>1910.0</v>
      </c>
      <c r="E147" s="9" t="n">
        <v>1910</v>
      </c>
      <c r="F147" t="str">
        <f>IF(ABS(D147-E147)&lt;0.5,"OK","DIFF")</f>
        <v>OK</v>
      </c>
    </row>
    <row r="148">
      <c r="B148" t="inlineStr">
        <is>
          <t>Total synergies</t>
        </is>
      </c>
      <c r="C148" t="inlineStr">
        <is>
          <t>FY2025E</t>
        </is>
      </c>
      <c r="D148" s="9">
        <f>'Synergies'!$F$21</f>
        <v>3100.0</v>
      </c>
      <c r="E148" s="9" t="n">
        <v>3100</v>
      </c>
      <c r="F148" t="str">
        <f>IF(ABS(D148-E148)&lt;0.5,"OK","DIFF")</f>
        <v>OK</v>
      </c>
    </row>
    <row r="149">
      <c r="B149" t="inlineStr">
        <is>
          <t>Costs to achieve (one-off, pre-tax)</t>
        </is>
      </c>
      <c r="C149" t="inlineStr">
        <is>
          <t>FY2023E</t>
        </is>
      </c>
      <c r="D149" s="9">
        <f>'Synergies'!$D$23</f>
        <v>1680.0</v>
      </c>
      <c r="E149" s="9" t="n">
        <v>1680</v>
      </c>
      <c r="F149" t="str">
        <f>IF(ABS(D149-E149)&lt;0.5,"OK","DIFF")</f>
        <v>OK</v>
      </c>
    </row>
    <row r="150">
      <c r="B150" t="inlineStr">
        <is>
          <t>Costs to achieve (one-off, pre-tax)</t>
        </is>
      </c>
      <c r="C150" t="inlineStr">
        <is>
          <t>FY2024E</t>
        </is>
      </c>
      <c r="D150" s="9">
        <f>'Synergies'!$E$23</f>
        <v>1120.0</v>
      </c>
      <c r="E150" s="9" t="n">
        <v>1120</v>
      </c>
      <c r="F150" t="str">
        <f>IF(ABS(D150-E150)&lt;0.5,"OK","DIFF")</f>
        <v>OK</v>
      </c>
    </row>
    <row r="151">
      <c r="B151" t="inlineStr">
        <is>
          <t>Costs to achieve (one-off, pre-tax)</t>
        </is>
      </c>
      <c r="C151" t="inlineStr">
        <is>
          <t>FY2025E</t>
        </is>
      </c>
      <c r="D151" s="9">
        <f>'Synergies'!$F$23</f>
        <v>0.0</v>
      </c>
      <c r="E151" s="9" t="n">
        <v>0</v>
      </c>
      <c r="F151" t="str">
        <f>IF(ABS(D151-E151)&lt;0.5,"OK","DIFF")</f>
        <v>OK</v>
      </c>
    </row>
    <row r="152">
      <c r="B152" t="inlineStr">
        <is>
          <t>PV of after-tax synergies</t>
        </is>
      </c>
      <c r="C152" t="inlineStr">
        <is>
          <t>FY2023E</t>
        </is>
      </c>
      <c r="D152" s="9">
        <f>'Synergies'!$D$27</f>
        <v>486.7018842828641</v>
      </c>
      <c r="E152" s="9" t="n">
        <v>486.7018842828641</v>
      </c>
      <c r="F152" t="str">
        <f>IF(ABS(D152-E152)&lt;0.5,"OK","DIFF")</f>
        <v>OK</v>
      </c>
    </row>
    <row r="153">
      <c r="B153" t="inlineStr">
        <is>
          <t>PV of after-tax synergies</t>
        </is>
      </c>
      <c r="C153" t="inlineStr">
        <is>
          <t>FY2024E</t>
        </is>
      </c>
      <c r="D153" s="9">
        <f>'Synergies'!$E$27</f>
        <v>1123.7855433657305</v>
      </c>
      <c r="E153" s="9" t="n">
        <v>1123.785543365731</v>
      </c>
      <c r="F153" t="str">
        <f>IF(ABS(D153-E153)&lt;0.5,"OK","DIFF")</f>
        <v>OK</v>
      </c>
    </row>
    <row r="154">
      <c r="B154" t="inlineStr">
        <is>
          <t>PV of after-tax synergies</t>
        </is>
      </c>
      <c r="C154" t="inlineStr">
        <is>
          <t>FY2025E</t>
        </is>
      </c>
      <c r="D154" s="9">
        <f>'Synergies'!$F$27</f>
        <v>1617.33107757942</v>
      </c>
      <c r="E154" s="9" t="n">
        <v>1617.33107757942</v>
      </c>
      <c r="F154" t="str">
        <f>IF(ABS(D154-E154)&lt;0.5,"OK","DIFF")</f>
        <v>OK</v>
      </c>
    </row>
    <row r="155">
      <c r="B155" t="inlineStr">
        <is>
          <t>PV of terminal value (run-rate after tax, growing)</t>
        </is>
      </c>
      <c r="C155" t="inlineStr"/>
      <c r="D155" s="9">
        <f>'Synergies'!$C$29</f>
        <v>19168.368326867203</v>
      </c>
      <c r="E155" s="9" t="n">
        <v>19168.36832686721</v>
      </c>
      <c r="F155" t="str">
        <f>IF(ABS(D155-E155)&lt;0.5,"OK","DIFF")</f>
        <v>OK</v>
      </c>
    </row>
    <row r="156">
      <c r="B156" t="inlineStr">
        <is>
          <t>Gross synergy NPV</t>
        </is>
      </c>
      <c r="C156" t="inlineStr"/>
      <c r="D156" s="9">
        <f>'Synergies'!$C$30</f>
        <v>22396.186832095216</v>
      </c>
      <c r="E156" s="9" t="n">
        <v>22396.18683209522</v>
      </c>
      <c r="F156" t="str">
        <f>IF(ABS(D156-E156)&lt;0.5,"OK","DIFF")</f>
        <v>OK</v>
      </c>
    </row>
    <row r="157">
      <c r="B157" t="inlineStr">
        <is>
          <t>Less: PV of costs to achieve</t>
        </is>
      </c>
      <c r="C157" t="inlineStr"/>
      <c r="D157" s="9">
        <f>'Synergies'!$C$31</f>
        <v>1773.7101438435598</v>
      </c>
      <c r="E157" s="9" t="n">
        <v>1773.71014384356</v>
      </c>
      <c r="F157" t="str">
        <f>IF(ABS(D157-E157)&lt;0.5,"OK","DIFF")</f>
        <v>OK</v>
      </c>
    </row>
    <row r="158">
      <c r="B158" t="inlineStr">
        <is>
          <t>Net synergy NPV</t>
        </is>
      </c>
      <c r="C158" t="inlineStr"/>
      <c r="D158" s="9">
        <f>'Synergies'!$C$32</f>
        <v>20622.476688251656</v>
      </c>
      <c r="E158" s="9" t="n">
        <v>20622.47668825166</v>
      </c>
      <c r="F158" t="str">
        <f>IF(ABS(D158-E158)&lt;0.5,"OK","DIFF")</f>
        <v>OK</v>
      </c>
    </row>
    <row r="159">
      <c r="B159" t="inlineStr">
        <is>
          <t>Terminal value share of gross NPV</t>
        </is>
      </c>
      <c r="C159" t="inlineStr"/>
      <c r="D159" s="12">
        <f>'Synergies'!$C$33</f>
        <v>0.8558764253295862</v>
      </c>
      <c r="E159" s="12" t="n">
        <v>0.8558764253295863</v>
      </c>
      <c r="F159" t="str">
        <f>IF(ABS(D159-E159)&lt;0.000001,"OK","DIFF")</f>
        <v>OK</v>
      </c>
    </row>
    <row r="160">
      <c r="B160" t="inlineStr">
        <is>
          <t>Revenue (Ambuja + ACC)</t>
        </is>
      </c>
      <c r="C160" t="inlineStr">
        <is>
          <t>FY2023E</t>
        </is>
      </c>
      <c r="D160" s="9">
        <f>'Pro Forma &amp; Returns'!$D$4</f>
        <v>33745.600000000006</v>
      </c>
      <c r="E160" s="9" t="n">
        <v>33745.60000000001</v>
      </c>
      <c r="F160" t="str">
        <f>IF(ABS(D160-E160)&lt;0.5,"OK","DIFF")</f>
        <v>OK</v>
      </c>
    </row>
    <row r="161">
      <c r="B161" t="inlineStr">
        <is>
          <t>Revenue (Ambuja + ACC)</t>
        </is>
      </c>
      <c r="C161" t="inlineStr">
        <is>
          <t>FY2024E</t>
        </is>
      </c>
      <c r="D161" s="9">
        <f>'Pro Forma &amp; Returns'!$E$4</f>
        <v>36782.70400000001</v>
      </c>
      <c r="E161" s="9" t="n">
        <v>36782.70400000001</v>
      </c>
      <c r="F161" t="str">
        <f>IF(ABS(D161-E161)&lt;0.5,"OK","DIFF")</f>
        <v>OK</v>
      </c>
    </row>
    <row r="162">
      <c r="B162" t="inlineStr">
        <is>
          <t>Revenue (Ambuja + ACC)</t>
        </is>
      </c>
      <c r="C162" t="inlineStr">
        <is>
          <t>FY2025E</t>
        </is>
      </c>
      <c r="D162" s="9">
        <f>'Pro Forma &amp; Returns'!$F$4</f>
        <v>39725.32032000001</v>
      </c>
      <c r="E162" s="9" t="n">
        <v>39725.32032000001</v>
      </c>
      <c r="F162" t="str">
        <f>IF(ABS(D162-E162)&lt;0.5,"OK","DIFF")</f>
        <v>OK</v>
      </c>
    </row>
    <row r="163">
      <c r="B163" t="inlineStr">
        <is>
          <t>EBITDA incl. synergies, less costs to achieve</t>
        </is>
      </c>
      <c r="C163" t="inlineStr">
        <is>
          <t>FY2023E</t>
        </is>
      </c>
      <c r="D163" s="9">
        <f>'Pro Forma &amp; Returns'!$D$5</f>
        <v>4042.3608000000004</v>
      </c>
      <c r="E163" s="9" t="n">
        <v>4042.3608</v>
      </c>
      <c r="F163" t="str">
        <f>IF(ABS(D163-E163)&lt;0.5,"OK","DIFF")</f>
        <v>OK</v>
      </c>
    </row>
    <row r="164">
      <c r="B164" t="inlineStr">
        <is>
          <t>EBITDA incl. synergies, less costs to achieve</t>
        </is>
      </c>
      <c r="C164" t="inlineStr">
        <is>
          <t>FY2024E</t>
        </is>
      </c>
      <c r="D164" s="9">
        <f>'Pro Forma &amp; Returns'!$E$5</f>
        <v>6963.512352000002</v>
      </c>
      <c r="E164" s="9" t="n">
        <v>6963.512352000002</v>
      </c>
      <c r="F164" t="str">
        <f>IF(ABS(D164-E164)&lt;0.5,"OK","DIFF")</f>
        <v>OK</v>
      </c>
    </row>
    <row r="165">
      <c r="B165" t="inlineStr">
        <is>
          <t>EBITDA incl. synergies, less costs to achieve</t>
        </is>
      </c>
      <c r="C165" t="inlineStr">
        <is>
          <t>FY2025E</t>
        </is>
      </c>
      <c r="D165" s="9">
        <f>'Pro Forma &amp; Returns'!$F$5</f>
        <v>10164.646543360002</v>
      </c>
      <c r="E165" s="9" t="n">
        <v>10164.64654336</v>
      </c>
      <c r="F165" t="str">
        <f>IF(ABS(D165-E165)&lt;0.5,"OK","DIFF")</f>
        <v>OK</v>
      </c>
    </row>
    <row r="166">
      <c r="B166" t="inlineStr">
        <is>
          <t>D&amp;A incl. PPA</t>
        </is>
      </c>
      <c r="C166" t="inlineStr">
        <is>
          <t>FY2023E</t>
        </is>
      </c>
      <c r="D166" s="9">
        <f>'Pro Forma &amp; Returns'!$D$8</f>
        <v>2854.88</v>
      </c>
      <c r="E166" s="9" t="n">
        <v>2854.88</v>
      </c>
      <c r="F166" t="str">
        <f>IF(ABS(D166-E166)&lt;0.5,"OK","DIFF")</f>
        <v>OK</v>
      </c>
    </row>
    <row r="167">
      <c r="B167" t="inlineStr">
        <is>
          <t>D&amp;A incl. PPA</t>
        </is>
      </c>
      <c r="C167" t="inlineStr">
        <is>
          <t>FY2024E</t>
        </is>
      </c>
      <c r="D167" s="9">
        <f>'Pro Forma &amp; Returns'!$E$8</f>
        <v>2570.6992000000005</v>
      </c>
      <c r="E167" s="9" t="n">
        <v>2570.6992</v>
      </c>
      <c r="F167" t="str">
        <f>IF(ABS(D167-E167)&lt;0.5,"OK","DIFF")</f>
        <v>OK</v>
      </c>
    </row>
    <row r="168">
      <c r="B168" t="inlineStr">
        <is>
          <t>D&amp;A incl. PPA</t>
        </is>
      </c>
      <c r="C168" t="inlineStr">
        <is>
          <t>FY2025E</t>
        </is>
      </c>
      <c r="D168" s="9">
        <f>'Pro Forma &amp; Returns'!$F$8</f>
        <v>2682.9151360000005</v>
      </c>
      <c r="E168" s="9" t="n">
        <v>2682.915136000001</v>
      </c>
      <c r="F168" t="str">
        <f>IF(ABS(D168-E168)&lt;0.5,"OK","DIFF")</f>
        <v>OK</v>
      </c>
    </row>
    <row r="169">
      <c r="B169" t="inlineStr">
        <is>
          <t>Treasury income</t>
        </is>
      </c>
      <c r="C169" t="inlineStr">
        <is>
          <t>FY2023E</t>
        </is>
      </c>
      <c r="D169" s="9">
        <f>'Pro Forma &amp; Returns'!$D$9</f>
        <v>352.40854</v>
      </c>
      <c r="E169" s="9" t="n">
        <v>352.40854</v>
      </c>
      <c r="F169" t="str">
        <f>IF(ABS(D169-E169)&lt;0.5,"OK","DIFF")</f>
        <v>OK</v>
      </c>
    </row>
    <row r="170">
      <c r="B170" t="inlineStr">
        <is>
          <t>Treasury income</t>
        </is>
      </c>
      <c r="C170" t="inlineStr">
        <is>
          <t>FY2024E</t>
        </is>
      </c>
      <c r="D170" s="9">
        <f>'Pro Forma &amp; Returns'!$E$9</f>
        <v>352.40854</v>
      </c>
      <c r="E170" s="9" t="n">
        <v>352.40854</v>
      </c>
      <c r="F170" t="str">
        <f>IF(ABS(D170-E170)&lt;0.5,"OK","DIFF")</f>
        <v>OK</v>
      </c>
    </row>
    <row r="171">
      <c r="B171" t="inlineStr">
        <is>
          <t>Treasury income</t>
        </is>
      </c>
      <c r="C171" t="inlineStr">
        <is>
          <t>FY2025E</t>
        </is>
      </c>
      <c r="D171" s="9">
        <f>'Pro Forma &amp; Returns'!$F$9</f>
        <v>352.40854</v>
      </c>
      <c r="E171" s="9" t="n">
        <v>352.40854</v>
      </c>
      <c r="F171" t="str">
        <f>IF(ABS(D171-E171)&lt;0.5,"OK","DIFF")</f>
        <v>OK</v>
      </c>
    </row>
    <row r="172">
      <c r="B172" t="inlineStr">
        <is>
          <t>Target interest expense</t>
        </is>
      </c>
      <c r="C172" t="inlineStr">
        <is>
          <t>FY2023E</t>
        </is>
      </c>
      <c r="D172" s="9">
        <f>'Pro Forma &amp; Returns'!$D$10</f>
        <v>146.0</v>
      </c>
      <c r="E172" s="9" t="n">
        <v>146</v>
      </c>
      <c r="F172" t="str">
        <f>IF(ABS(D172-E172)&lt;0.5,"OK","DIFF")</f>
        <v>OK</v>
      </c>
    </row>
    <row r="173">
      <c r="B173" t="inlineStr">
        <is>
          <t>Target interest expense</t>
        </is>
      </c>
      <c r="C173" t="inlineStr">
        <is>
          <t>FY2024E</t>
        </is>
      </c>
      <c r="D173" s="9">
        <f>'Pro Forma &amp; Returns'!$E$10</f>
        <v>146.0</v>
      </c>
      <c r="E173" s="9" t="n">
        <v>146</v>
      </c>
      <c r="F173" t="str">
        <f>IF(ABS(D173-E173)&lt;0.5,"OK","DIFF")</f>
        <v>OK</v>
      </c>
    </row>
    <row r="174">
      <c r="B174" t="inlineStr">
        <is>
          <t>Target interest expense</t>
        </is>
      </c>
      <c r="C174" t="inlineStr">
        <is>
          <t>FY2025E</t>
        </is>
      </c>
      <c r="D174" s="9">
        <f>'Pro Forma &amp; Returns'!$F$10</f>
        <v>146.0</v>
      </c>
      <c r="E174" s="9" t="n">
        <v>146</v>
      </c>
      <c r="F174" t="str">
        <f>IF(ABS(D174-E174)&lt;0.5,"OK","DIFF")</f>
        <v>OK</v>
      </c>
    </row>
    <row r="175">
      <c r="B175" t="inlineStr">
        <is>
          <t>Holdco acquisition interest</t>
        </is>
      </c>
      <c r="C175" t="inlineStr">
        <is>
          <t>FY2023E</t>
        </is>
      </c>
      <c r="D175" s="9">
        <f>'Pro Forma &amp; Returns'!$D$11</f>
        <v>2834.675</v>
      </c>
      <c r="E175" s="9" t="n">
        <v>2834.675</v>
      </c>
      <c r="F175" t="str">
        <f>IF(ABS(D175-E175)&lt;0.5,"OK","DIFF")</f>
        <v>OK</v>
      </c>
    </row>
    <row r="176">
      <c r="B176" t="inlineStr">
        <is>
          <t>Holdco acquisition interest</t>
        </is>
      </c>
      <c r="C176" t="inlineStr">
        <is>
          <t>FY2024E</t>
        </is>
      </c>
      <c r="D176" s="9">
        <f>'Pro Forma &amp; Returns'!$E$11</f>
        <v>2694.9375</v>
      </c>
      <c r="E176" s="9" t="n">
        <v>2694.9375</v>
      </c>
      <c r="F176" t="str">
        <f>IF(ABS(D176-E176)&lt;0.5,"OK","DIFF")</f>
        <v>OK</v>
      </c>
    </row>
    <row r="177">
      <c r="B177" t="inlineStr">
        <is>
          <t>Holdco acquisition interest</t>
        </is>
      </c>
      <c r="C177" t="inlineStr">
        <is>
          <t>FY2025E</t>
        </is>
      </c>
      <c r="D177" s="9">
        <f>'Pro Forma &amp; Returns'!$F$11</f>
        <v>2694.9375</v>
      </c>
      <c r="E177" s="9" t="n">
        <v>2694.9375</v>
      </c>
      <c r="F177" t="str">
        <f>IF(ABS(D177-E177)&lt;0.5,"OK","DIFF")</f>
        <v>OK</v>
      </c>
    </row>
    <row r="178">
      <c r="B178" t="inlineStr">
        <is>
          <t>Profit before tax</t>
        </is>
      </c>
      <c r="C178" t="inlineStr">
        <is>
          <t>FY2023E</t>
        </is>
      </c>
      <c r="D178" s="9">
        <f>'Pro Forma &amp; Returns'!$D$12</f>
        <v>-1440.78566</v>
      </c>
      <c r="E178" s="9" t="n">
        <v>-1440.78566</v>
      </c>
      <c r="F178" t="str">
        <f>IF(ABS(D178-E178)&lt;0.5,"OK","DIFF")</f>
        <v>OK</v>
      </c>
    </row>
    <row r="179">
      <c r="B179" t="inlineStr">
        <is>
          <t>Profit before tax</t>
        </is>
      </c>
      <c r="C179" t="inlineStr">
        <is>
          <t>FY2024E</t>
        </is>
      </c>
      <c r="D179" s="9">
        <f>'Pro Forma &amp; Returns'!$E$12</f>
        <v>1904.284192000001</v>
      </c>
      <c r="E179" s="9" t="n">
        <v>1904.284192000001</v>
      </c>
      <c r="F179" t="str">
        <f>IF(ABS(D179-E179)&lt;0.5,"OK","DIFF")</f>
        <v>OK</v>
      </c>
    </row>
    <row r="180">
      <c r="B180" t="inlineStr">
        <is>
          <t>Profit before tax</t>
        </is>
      </c>
      <c r="C180" t="inlineStr">
        <is>
          <t>FY2025E</t>
        </is>
      </c>
      <c r="D180" s="9">
        <f>'Pro Forma &amp; Returns'!$F$12</f>
        <v>4993.202447360002</v>
      </c>
      <c r="E180" s="9" t="n">
        <v>4993.202447360002</v>
      </c>
      <c r="F180" t="str">
        <f>IF(ABS(D180-E180)&lt;0.5,"OK","DIFF")</f>
        <v>OK</v>
      </c>
    </row>
    <row r="181">
      <c r="B181" t="inlineStr">
        <is>
          <t>Holdco interest after any tax shield</t>
        </is>
      </c>
      <c r="C181" t="inlineStr">
        <is>
          <t>FY2023E</t>
        </is>
      </c>
      <c r="D181" s="9">
        <f>'Pro Forma &amp; Returns'!$D$13</f>
        <v>2834.675</v>
      </c>
      <c r="E181" s="9" t="n">
        <v>2834.675</v>
      </c>
      <c r="F181" t="str">
        <f>IF(ABS(D181-E181)&lt;0.5,"OK","DIFF")</f>
        <v>OK</v>
      </c>
    </row>
    <row r="182">
      <c r="B182" t="inlineStr">
        <is>
          <t>Holdco interest after any tax shield</t>
        </is>
      </c>
      <c r="C182" t="inlineStr">
        <is>
          <t>FY2024E</t>
        </is>
      </c>
      <c r="D182" s="9">
        <f>'Pro Forma &amp; Returns'!$E$13</f>
        <v>2694.9375</v>
      </c>
      <c r="E182" s="9" t="n">
        <v>2694.9375</v>
      </c>
      <c r="F182" t="str">
        <f>IF(ABS(D182-E182)&lt;0.5,"OK","DIFF")</f>
        <v>OK</v>
      </c>
    </row>
    <row r="183">
      <c r="B183" t="inlineStr">
        <is>
          <t>Holdco interest after any tax shield</t>
        </is>
      </c>
      <c r="C183" t="inlineStr">
        <is>
          <t>FY2025E</t>
        </is>
      </c>
      <c r="D183" s="9">
        <f>'Pro Forma &amp; Returns'!$F$13</f>
        <v>2694.9375</v>
      </c>
      <c r="E183" s="9" t="n">
        <v>2694.9375</v>
      </c>
      <c r="F183" t="str">
        <f>IF(ABS(D183-E183)&lt;0.5,"OK","DIFF")</f>
        <v>OK</v>
      </c>
    </row>
    <row r="184">
      <c r="B184" t="inlineStr">
        <is>
          <t>Tax (no shield on holdco interest unless deductible)</t>
        </is>
      </c>
      <c r="C184" t="inlineStr">
        <is>
          <t>FY2023E</t>
        </is>
      </c>
      <c r="D184" s="9">
        <f>'Pro Forma &amp; Returns'!$D$14</f>
        <v>350.841946878</v>
      </c>
      <c r="E184" s="9" t="n">
        <v>350.8419468780001</v>
      </c>
      <c r="F184" t="str">
        <f>IF(ABS(D184-E184)&lt;0.5,"OK","DIFF")</f>
        <v>OK</v>
      </c>
    </row>
    <row r="185">
      <c r="B185" t="inlineStr">
        <is>
          <t>Tax (no shield on holdco interest unless deductible)</t>
        </is>
      </c>
      <c r="C185" t="inlineStr">
        <is>
          <t>FY2024E</t>
        </is>
      </c>
      <c r="D185" s="9">
        <f>'Pro Forma &amp; Returns'!$E$14</f>
        <v>1157.6240998764001</v>
      </c>
      <c r="E185" s="9" t="n">
        <v>1157.6240998764</v>
      </c>
      <c r="F185" t="str">
        <f>IF(ABS(D185-E185)&lt;0.5,"OK","DIFF")</f>
        <v>OK</v>
      </c>
    </row>
    <row r="186">
      <c r="B186" t="inlineStr">
        <is>
          <t>Tax (no shield on holdco interest unless deductible)</t>
        </is>
      </c>
      <c r="C186" t="inlineStr">
        <is>
          <t>FY2025E</t>
        </is>
      </c>
      <c r="D186" s="9">
        <f>'Pro Forma &amp; Returns'!$F$14</f>
        <v>1935.1048247505123</v>
      </c>
      <c r="E186" s="9" t="n">
        <v>1935.104824750513</v>
      </c>
      <c r="F186" t="str">
        <f>IF(ABS(D186-E186)&lt;0.5,"OK","DIFF")</f>
        <v>OK</v>
      </c>
    </row>
    <row r="187">
      <c r="B187" t="inlineStr">
        <is>
          <t>Consolidated net income</t>
        </is>
      </c>
      <c r="C187" t="inlineStr">
        <is>
          <t>FY2023E</t>
        </is>
      </c>
      <c r="D187" s="9">
        <f>'Pro Forma &amp; Returns'!$D$15</f>
        <v>-1791.627606878</v>
      </c>
      <c r="E187" s="9" t="n">
        <v>-1791.627606878</v>
      </c>
      <c r="F187" t="str">
        <f>IF(ABS(D187-E187)&lt;0.5,"OK","DIFF")</f>
        <v>OK</v>
      </c>
    </row>
    <row r="188">
      <c r="B188" t="inlineStr">
        <is>
          <t>Consolidated net income</t>
        </is>
      </c>
      <c r="C188" t="inlineStr">
        <is>
          <t>FY2024E</t>
        </is>
      </c>
      <c r="D188" s="9">
        <f>'Pro Forma &amp; Returns'!$E$15</f>
        <v>746.6600921236009</v>
      </c>
      <c r="E188" s="9" t="n">
        <v>746.6600921236006</v>
      </c>
      <c r="F188" t="str">
        <f>IF(ABS(D188-E188)&lt;0.5,"OK","DIFF")</f>
        <v>OK</v>
      </c>
    </row>
    <row r="189">
      <c r="B189" t="inlineStr">
        <is>
          <t>Consolidated net income</t>
        </is>
      </c>
      <c r="C189" t="inlineStr">
        <is>
          <t>FY2025E</t>
        </is>
      </c>
      <c r="D189" s="9">
        <f>'Pro Forma &amp; Returns'!$F$15</f>
        <v>3058.09762260949</v>
      </c>
      <c r="E189" s="9" t="n">
        <v>3058.097622609489</v>
      </c>
      <c r="F189" t="str">
        <f>IF(ABS(D189-E189)&lt;0.5,"OK","DIFF")</f>
        <v>OK</v>
      </c>
    </row>
    <row r="190">
      <c r="B190" t="inlineStr">
        <is>
          <t>Adani share of synergies (EBITDA-weighted look-through)</t>
        </is>
      </c>
      <c r="C190" t="inlineStr">
        <is>
          <t>FY2023E</t>
        </is>
      </c>
      <c r="D190" s="11">
        <f>'Pro Forma &amp; Returns'!$D$18</f>
        <v>0.5231271161740537</v>
      </c>
      <c r="E190" s="11" t="n">
        <v>0.5231271161740537</v>
      </c>
      <c r="F190" t="str">
        <f>IF(ABS(D190-E190)&lt;0.000001,"OK","DIFF")</f>
        <v>OK</v>
      </c>
    </row>
    <row r="191">
      <c r="B191" t="inlineStr">
        <is>
          <t>Adani share of synergies (EBITDA-weighted look-through)</t>
        </is>
      </c>
      <c r="C191" t="inlineStr">
        <is>
          <t>FY2024E</t>
        </is>
      </c>
      <c r="D191" s="11">
        <f>'Pro Forma &amp; Returns'!$E$18</f>
        <v>0.5201322790577935</v>
      </c>
      <c r="E191" s="11" t="n">
        <v>0.5201322790577935</v>
      </c>
      <c r="F191" t="str">
        <f>IF(ABS(D191-E191)&lt;0.000001,"OK","DIFF")</f>
        <v>OK</v>
      </c>
    </row>
    <row r="192">
      <c r="B192" t="inlineStr">
        <is>
          <t>Adani share of synergies (EBITDA-weighted look-through)</t>
        </is>
      </c>
      <c r="C192" t="inlineStr">
        <is>
          <t>FY2025E</t>
        </is>
      </c>
      <c r="D192" s="11">
        <f>'Pro Forma &amp; Returns'!$F$18</f>
        <v>0.518887465204696</v>
      </c>
      <c r="E192" s="11" t="n">
        <v>0.518887465204696</v>
      </c>
      <c r="F192" t="str">
        <f>IF(ABS(D192-E192)&lt;0.000001,"OK","DIFF")</f>
        <v>OK</v>
      </c>
    </row>
    <row r="193">
      <c r="B193" t="inlineStr">
        <is>
          <t>Share of synergies after tax</t>
        </is>
      </c>
      <c r="C193" t="inlineStr">
        <is>
          <t>FY2023E</t>
        </is>
      </c>
      <c r="D193" s="9">
        <f>'Pro Forma &amp; Returns'!$D$20</f>
        <v>287.1329914277381</v>
      </c>
      <c r="E193" s="9" t="n">
        <v>287.1329914277381</v>
      </c>
      <c r="F193" t="str">
        <f>IF(ABS(D193-E193)&lt;0.5,"OK","DIFF")</f>
        <v>OK</v>
      </c>
    </row>
    <row r="194">
      <c r="B194" t="inlineStr">
        <is>
          <t>Share of synergies after tax</t>
        </is>
      </c>
      <c r="C194" t="inlineStr">
        <is>
          <t>FY2024E</t>
        </is>
      </c>
      <c r="D194" s="9">
        <f>'Pro Forma &amp; Returns'!$E$20</f>
        <v>743.4006202401885</v>
      </c>
      <c r="E194" s="9" t="n">
        <v>743.4006202401885</v>
      </c>
      <c r="F194" t="str">
        <f>IF(ABS(D194-E194)&lt;0.5,"OK","DIFF")</f>
        <v>OK</v>
      </c>
    </row>
    <row r="195">
      <c r="B195" t="inlineStr">
        <is>
          <t>Share of synergies after tax</t>
        </is>
      </c>
      <c r="C195" t="inlineStr">
        <is>
          <t>FY2025E</t>
        </is>
      </c>
      <c r="D195" s="9">
        <f>'Pro Forma &amp; Returns'!$F$20</f>
        <v>1203.6788196592893</v>
      </c>
      <c r="E195" s="9" t="n">
        <v>1203.678819659289</v>
      </c>
      <c r="F195" t="str">
        <f>IF(ABS(D195-E195)&lt;0.5,"OK","DIFF")</f>
        <v>OK</v>
      </c>
    </row>
    <row r="196">
      <c r="B196" t="inlineStr">
        <is>
          <t>Share of costs to achieve after tax</t>
        </is>
      </c>
      <c r="C196" t="inlineStr">
        <is>
          <t>FY2023E</t>
        </is>
      </c>
      <c r="D196" s="9">
        <f>'Pro Forma &amp; Returns'!$D$21</f>
        <v>657.6461153355145</v>
      </c>
      <c r="E196" s="9" t="n">
        <v>657.6461153355145</v>
      </c>
      <c r="F196" t="str">
        <f>IF(ABS(D196-E196)&lt;0.5,"OK","DIFF")</f>
        <v>OK</v>
      </c>
    </row>
    <row r="197">
      <c r="B197" t="inlineStr">
        <is>
          <t>Share of costs to achieve after tax</t>
        </is>
      </c>
      <c r="C197" t="inlineStr">
        <is>
          <t>FY2024E</t>
        </is>
      </c>
      <c r="D197" s="9">
        <f>'Pro Forma &amp; Returns'!$E$21</f>
        <v>435.9207825492205</v>
      </c>
      <c r="E197" s="9" t="n">
        <v>435.9207825492205</v>
      </c>
      <c r="F197" t="str">
        <f>IF(ABS(D197-E197)&lt;0.5,"OK","DIFF")</f>
        <v>OK</v>
      </c>
    </row>
    <row r="198">
      <c r="B198" t="inlineStr">
        <is>
          <t>Share of costs to achieve after tax</t>
        </is>
      </c>
      <c r="C198" t="inlineStr">
        <is>
          <t>FY2025E</t>
        </is>
      </c>
      <c r="D198" s="9">
        <f>'Pro Forma &amp; Returns'!$F$21</f>
        <v>0.0</v>
      </c>
      <c r="E198" s="9" t="n">
        <v>0</v>
      </c>
      <c r="F198" t="str">
        <f>IF(ABS(D198-E198)&lt;0.5,"OK","DIFF")</f>
        <v>OK</v>
      </c>
    </row>
    <row r="199">
      <c r="B199" t="inlineStr">
        <is>
          <t>Share of PPA amortisation after tax</t>
        </is>
      </c>
      <c r="C199" t="inlineStr">
        <is>
          <t>FY2023E</t>
        </is>
      </c>
      <c r="D199" s="9">
        <f>'Pro Forma &amp; Returns'!$D$22</f>
        <v>600.9312649374841</v>
      </c>
      <c r="E199" s="9" t="n">
        <v>600.9312649374841</v>
      </c>
      <c r="F199" t="str">
        <f>IF(ABS(D199-E199)&lt;0.5,"OK","DIFF")</f>
        <v>OK</v>
      </c>
    </row>
    <row r="200">
      <c r="B200" t="inlineStr">
        <is>
          <t>Share of PPA amortisation after tax</t>
        </is>
      </c>
      <c r="C200" t="inlineStr">
        <is>
          <t>FY2024E</t>
        </is>
      </c>
      <c r="D200" s="9">
        <f>'Pro Forma &amp; Returns'!$E$22</f>
        <v>452.9115866067796</v>
      </c>
      <c r="E200" s="9" t="n">
        <v>452.9115866067796</v>
      </c>
      <c r="F200" t="str">
        <f>IF(ABS(D200-E200)&lt;0.5,"OK","DIFF")</f>
        <v>OK</v>
      </c>
    </row>
    <row r="201">
      <c r="B201" t="inlineStr">
        <is>
          <t>Share of PPA amortisation after tax</t>
        </is>
      </c>
      <c r="C201" t="inlineStr">
        <is>
          <t>FY2025E</t>
        </is>
      </c>
      <c r="D201" s="9">
        <f>'Pro Forma &amp; Returns'!$F$22</f>
        <v>452.9115866067796</v>
      </c>
      <c r="E201" s="9" t="n">
        <v>452.9115866067796</v>
      </c>
      <c r="F201" t="str">
        <f>IF(ABS(D201-E201)&lt;0.5,"OK","DIFF")</f>
        <v>OK</v>
      </c>
    </row>
    <row r="202">
      <c r="B202" t="inlineStr">
        <is>
          <t>Adani-attributable net income</t>
        </is>
      </c>
      <c r="C202" t="inlineStr">
        <is>
          <t>FY2023E</t>
        </is>
      </c>
      <c r="D202" s="9">
        <f>'Pro Forma &amp; Returns'!$D$23</f>
        <v>-2270.9267432585348</v>
      </c>
      <c r="E202" s="9" t="n">
        <v>-2270.926743258535</v>
      </c>
      <c r="F202" t="str">
        <f>IF(ABS(D202-E202)&lt;0.5,"OK","DIFF")</f>
        <v>OK</v>
      </c>
    </row>
    <row r="203">
      <c r="B203" t="inlineStr">
        <is>
          <t>Adani-attributable net income</t>
        </is>
      </c>
      <c r="C203" t="inlineStr">
        <is>
          <t>FY2024E</t>
        </is>
      </c>
      <c r="D203" s="9">
        <f>'Pro Forma &amp; Returns'!$E$23</f>
        <v>-898.7878932731901</v>
      </c>
      <c r="E203" s="9" t="n">
        <v>-898.7878932731901</v>
      </c>
      <c r="F203" t="str">
        <f>IF(ABS(D203-E203)&lt;0.5,"OK","DIFF")</f>
        <v>OK</v>
      </c>
    </row>
    <row r="204">
      <c r="B204" t="inlineStr">
        <is>
          <t>Adani-attributable net income</t>
        </is>
      </c>
      <c r="C204" t="inlineStr">
        <is>
          <t>FY2025E</t>
        </is>
      </c>
      <c r="D204" s="9">
        <f>'Pro Forma &amp; Returns'!$F$23</f>
        <v>295.5117925896593</v>
      </c>
      <c r="E204" s="9" t="n">
        <v>295.5117925896593</v>
      </c>
      <c r="F204" t="str">
        <f>IF(ABS(D204-E204)&lt;0.5,"OK","DIFF")</f>
        <v>OK</v>
      </c>
    </row>
    <row r="205">
      <c r="B205" t="inlineStr">
        <is>
          <t>Non-controlling interests' share</t>
        </is>
      </c>
      <c r="C205" t="inlineStr">
        <is>
          <t>FY2023E</t>
        </is>
      </c>
      <c r="D205" s="9">
        <f>'Pro Forma &amp; Returns'!$D$24</f>
        <v>479.2991363805347</v>
      </c>
      <c r="E205" s="9" t="n">
        <v>479.2991363805347</v>
      </c>
      <c r="F205" t="str">
        <f>IF(ABS(D205-E205)&lt;0.5,"OK","DIFF")</f>
        <v>OK</v>
      </c>
    </row>
    <row r="206">
      <c r="B206" t="inlineStr">
        <is>
          <t>Non-controlling interests' share</t>
        </is>
      </c>
      <c r="C206" t="inlineStr">
        <is>
          <t>FY2024E</t>
        </is>
      </c>
      <c r="D206" s="9">
        <f>'Pro Forma &amp; Returns'!$E$24</f>
        <v>1645.447985396791</v>
      </c>
      <c r="E206" s="9" t="n">
        <v>1645.447985396791</v>
      </c>
      <c r="F206" t="str">
        <f>IF(ABS(D206-E206)&lt;0.5,"OK","DIFF")</f>
        <v>OK</v>
      </c>
    </row>
    <row r="207">
      <c r="B207" t="inlineStr">
        <is>
          <t>Non-controlling interests' share</t>
        </is>
      </c>
      <c r="C207" t="inlineStr">
        <is>
          <t>FY2025E</t>
        </is>
      </c>
      <c r="D207" s="9">
        <f>'Pro Forma &amp; Returns'!$F$24</f>
        <v>2762.5858300198306</v>
      </c>
      <c r="E207" s="9" t="n">
        <v>2762.58583001983</v>
      </c>
      <c r="F207" t="str">
        <f>IF(ABS(D207-E207)&lt;0.5,"OK","DIFF")</f>
        <v>OK</v>
      </c>
    </row>
    <row r="208">
      <c r="B208" t="inlineStr">
        <is>
          <t>Dividends received, net of withholding tax</t>
        </is>
      </c>
      <c r="C208" t="inlineStr">
        <is>
          <t>FY2023E</t>
        </is>
      </c>
      <c r="D208" s="9">
        <f>'Pro Forma &amp; Returns'!$D$27</f>
        <v>229.9010330378734</v>
      </c>
      <c r="E208" s="9" t="n">
        <v>229.9010330378734</v>
      </c>
      <c r="F208" t="str">
        <f>IF(ABS(D208-E208)&lt;0.5,"OK","DIFF")</f>
        <v>OK</v>
      </c>
    </row>
    <row r="209">
      <c r="B209" t="inlineStr">
        <is>
          <t>Dividends received, net of withholding tax</t>
        </is>
      </c>
      <c r="C209" t="inlineStr">
        <is>
          <t>FY2024E</t>
        </is>
      </c>
      <c r="D209" s="9">
        <f>'Pro Forma &amp; Returns'!$E$27</f>
        <v>287.55307578056664</v>
      </c>
      <c r="E209" s="9" t="n">
        <v>287.5530757805666</v>
      </c>
      <c r="F209" t="str">
        <f>IF(ABS(D209-E209)&lt;0.5,"OK","DIFF")</f>
        <v>OK</v>
      </c>
    </row>
    <row r="210">
      <c r="B210" t="inlineStr">
        <is>
          <t>Dividends received, net of withholding tax</t>
        </is>
      </c>
      <c r="C210" t="inlineStr">
        <is>
          <t>FY2025E</t>
        </is>
      </c>
      <c r="D210" s="9">
        <f>'Pro Forma &amp; Returns'!$F$27</f>
        <v>330.32153476662614</v>
      </c>
      <c r="E210" s="9" t="n">
        <v>330.3215347666261</v>
      </c>
      <c r="F210" t="str">
        <f>IF(ABS(D210-E210)&lt;0.5,"OK","DIFF")</f>
        <v>OK</v>
      </c>
    </row>
    <row r="211">
      <c r="B211" t="inlineStr">
        <is>
          <t>Holdco cash flow (dividends − interest)</t>
        </is>
      </c>
      <c r="C211" t="inlineStr">
        <is>
          <t>FY2023E</t>
        </is>
      </c>
      <c r="D211" s="9">
        <f>'Pro Forma &amp; Returns'!$D$28</f>
        <v>-2604.773966962127</v>
      </c>
      <c r="E211" s="9" t="n">
        <v>-2604.773966962127</v>
      </c>
      <c r="F211" t="str">
        <f>IF(ABS(D211-E211)&lt;0.5,"OK","DIFF")</f>
        <v>OK</v>
      </c>
    </row>
    <row r="212">
      <c r="B212" t="inlineStr">
        <is>
          <t>Holdco cash flow (dividends − interest)</t>
        </is>
      </c>
      <c r="C212" t="inlineStr">
        <is>
          <t>FY2024E</t>
        </is>
      </c>
      <c r="D212" s="9">
        <f>'Pro Forma &amp; Returns'!$E$28</f>
        <v>-2407.384424219433</v>
      </c>
      <c r="E212" s="9" t="n">
        <v>-2407.384424219433</v>
      </c>
      <c r="F212" t="str">
        <f>IF(ABS(D212-E212)&lt;0.5,"OK","DIFF")</f>
        <v>OK</v>
      </c>
    </row>
    <row r="213">
      <c r="B213" t="inlineStr">
        <is>
          <t>Holdco cash flow (dividends − interest)</t>
        </is>
      </c>
      <c r="C213" t="inlineStr">
        <is>
          <t>FY2025E</t>
        </is>
      </c>
      <c r="D213" s="9">
        <f>'Pro Forma &amp; Returns'!$F$28</f>
        <v>-2364.615965233374</v>
      </c>
      <c r="E213" s="9" t="n">
        <v>-2364.615965233374</v>
      </c>
      <c r="F213" t="str">
        <f>IF(ABS(D213-E213)&lt;0.5,"OK","DIFF")</f>
        <v>OK</v>
      </c>
    </row>
    <row r="214">
      <c r="B214" t="inlineStr">
        <is>
          <t>Dividend / interest cover</t>
        </is>
      </c>
      <c r="C214" t="inlineStr">
        <is>
          <t>FY2023E</t>
        </is>
      </c>
      <c r="D214" s="13">
        <f>'Pro Forma &amp; Returns'!$D$29</f>
        <v>0.08110313635174168</v>
      </c>
      <c r="E214" s="13" t="n">
        <v>0.08110313635174168</v>
      </c>
      <c r="F214" t="str">
        <f>IF(ABS(D214-E214)&lt;0.000001,"OK","DIFF")</f>
        <v>OK</v>
      </c>
    </row>
    <row r="215">
      <c r="B215" t="inlineStr">
        <is>
          <t>Dividend / interest cover</t>
        </is>
      </c>
      <c r="C215" t="inlineStr">
        <is>
          <t>FY2024E</t>
        </is>
      </c>
      <c r="D215" s="13">
        <f>'Pro Forma &amp; Returns'!$E$29</f>
        <v>0.10670120393536646</v>
      </c>
      <c r="E215" s="13" t="n">
        <v>0.1067012039353665</v>
      </c>
      <c r="F215" t="str">
        <f>IF(ABS(D215-E215)&lt;0.000001,"OK","DIFF")</f>
        <v>OK</v>
      </c>
    </row>
    <row r="216">
      <c r="B216" t="inlineStr">
        <is>
          <t>Dividend / interest cover</t>
        </is>
      </c>
      <c r="C216" t="inlineStr">
        <is>
          <t>FY2025E</t>
        </is>
      </c>
      <c r="D216" s="13">
        <f>'Pro Forma &amp; Returns'!$F$29</f>
        <v>0.1225711300416526</v>
      </c>
      <c r="E216" s="13" t="n">
        <v>0.1225711300416526</v>
      </c>
      <c r="F216" t="str">
        <f>IF(ABS(D216-E216)&lt;0.000001,"OK","DIFF")</f>
        <v>OK</v>
      </c>
    </row>
    <row r="217">
      <c r="B217" t="inlineStr">
        <is>
          <t>Sponsor top-up needed</t>
        </is>
      </c>
      <c r="C217" t="inlineStr">
        <is>
          <t>FY2023E</t>
        </is>
      </c>
      <c r="D217" s="9">
        <f>'Pro Forma &amp; Returns'!$D$30</f>
        <v>2604.773966962127</v>
      </c>
      <c r="E217" s="9" t="n">
        <v>2604.773966962127</v>
      </c>
      <c r="F217" t="str">
        <f>IF(ABS(D217-E217)&lt;0.5,"OK","DIFF")</f>
        <v>OK</v>
      </c>
    </row>
    <row r="218">
      <c r="B218" t="inlineStr">
        <is>
          <t>Sponsor top-up needed</t>
        </is>
      </c>
      <c r="C218" t="inlineStr">
        <is>
          <t>FY2024E</t>
        </is>
      </c>
      <c r="D218" s="9">
        <f>'Pro Forma &amp; Returns'!$E$30</f>
        <v>2407.384424219433</v>
      </c>
      <c r="E218" s="9" t="n">
        <v>2407.384424219433</v>
      </c>
      <c r="F218" t="str">
        <f>IF(ABS(D218-E218)&lt;0.5,"OK","DIFF")</f>
        <v>OK</v>
      </c>
    </row>
    <row r="219">
      <c r="B219" t="inlineStr">
        <is>
          <t>Sponsor top-up needed</t>
        </is>
      </c>
      <c r="C219" t="inlineStr">
        <is>
          <t>FY2025E</t>
        </is>
      </c>
      <c r="D219" s="9">
        <f>'Pro Forma &amp; Returns'!$F$30</f>
        <v>2364.615965233374</v>
      </c>
      <c r="E219" s="9" t="n">
        <v>2364.615965233374</v>
      </c>
      <c r="F219" t="str">
        <f>IF(ABS(D219-E219)&lt;0.5,"OK","DIFF")</f>
        <v>OK</v>
      </c>
    </row>
    <row r="220">
      <c r="B220" t="inlineStr">
        <is>
          <t>Debt repaid from surplus</t>
        </is>
      </c>
      <c r="C220" t="inlineStr">
        <is>
          <t>FY2023E</t>
        </is>
      </c>
      <c r="D220" s="9">
        <f>'Pro Forma &amp; Returns'!$D$31</f>
        <v>0.0</v>
      </c>
      <c r="E220" s="9" t="n">
        <v>0</v>
      </c>
      <c r="F220" t="str">
        <f>IF(ABS(D220-E220)&lt;0.5,"OK","DIFF")</f>
        <v>OK</v>
      </c>
    </row>
    <row r="221">
      <c r="B221" t="inlineStr">
        <is>
          <t>Debt repaid from surplus</t>
        </is>
      </c>
      <c r="C221" t="inlineStr">
        <is>
          <t>FY2024E</t>
        </is>
      </c>
      <c r="D221" s="9">
        <f>'Pro Forma &amp; Returns'!$E$31</f>
        <v>0.0</v>
      </c>
      <c r="E221" s="9" t="n">
        <v>0</v>
      </c>
      <c r="F221" t="str">
        <f>IF(ABS(D221-E221)&lt;0.5,"OK","DIFF")</f>
        <v>OK</v>
      </c>
    </row>
    <row r="222">
      <c r="B222" t="inlineStr">
        <is>
          <t>Debt repaid from surplus</t>
        </is>
      </c>
      <c r="C222" t="inlineStr">
        <is>
          <t>FY2025E</t>
        </is>
      </c>
      <c r="D222" s="9">
        <f>'Pro Forma &amp; Returns'!$F$31</f>
        <v>0.0</v>
      </c>
      <c r="E222" s="9" t="n">
        <v>0</v>
      </c>
      <c r="F222" t="str">
        <f>IF(ABS(D222-E222)&lt;0.5,"OK","DIFF")</f>
        <v>OK</v>
      </c>
    </row>
    <row r="223">
      <c r="B223" t="inlineStr">
        <is>
          <t>Holdco debt — opening</t>
        </is>
      </c>
      <c r="C223" t="inlineStr">
        <is>
          <t>FY2023E</t>
        </is>
      </c>
      <c r="D223" s="9">
        <f>'Pro Forma &amp; Returns'!$D$32</f>
        <v>35932.5</v>
      </c>
      <c r="E223" s="9" t="n">
        <v>35932.5</v>
      </c>
      <c r="F223" t="str">
        <f>IF(ABS(D223-E223)&lt;0.5,"OK","DIFF")</f>
        <v>OK</v>
      </c>
    </row>
    <row r="224">
      <c r="B224" t="inlineStr">
        <is>
          <t>Holdco debt — opening</t>
        </is>
      </c>
      <c r="C224" t="inlineStr">
        <is>
          <t>FY2024E</t>
        </is>
      </c>
      <c r="D224" s="9">
        <f>'Pro Forma &amp; Returns'!$E$32</f>
        <v>35932.5</v>
      </c>
      <c r="E224" s="9" t="n">
        <v>35932.5</v>
      </c>
      <c r="F224" t="str">
        <f>IF(ABS(D224-E224)&lt;0.5,"OK","DIFF")</f>
        <v>OK</v>
      </c>
    </row>
    <row r="225">
      <c r="B225" t="inlineStr">
        <is>
          <t>Holdco debt — opening</t>
        </is>
      </c>
      <c r="C225" t="inlineStr">
        <is>
          <t>FY2025E</t>
        </is>
      </c>
      <c r="D225" s="9">
        <f>'Pro Forma &amp; Returns'!$F$32</f>
        <v>35932.5</v>
      </c>
      <c r="E225" s="9" t="n">
        <v>35932.5</v>
      </c>
      <c r="F225" t="str">
        <f>IF(ABS(D225-E225)&lt;0.5,"OK","DIFF")</f>
        <v>OK</v>
      </c>
    </row>
    <row r="226">
      <c r="B226" t="inlineStr">
        <is>
          <t>Holdco debt — closing</t>
        </is>
      </c>
      <c r="C226" t="inlineStr">
        <is>
          <t>FY2023E</t>
        </is>
      </c>
      <c r="D226" s="9">
        <f>'Pro Forma &amp; Returns'!$D$33</f>
        <v>35932.5</v>
      </c>
      <c r="E226" s="9" t="n">
        <v>35932.5</v>
      </c>
      <c r="F226" t="str">
        <f>IF(ABS(D226-E226)&lt;0.5,"OK","DIFF")</f>
        <v>OK</v>
      </c>
    </row>
    <row r="227">
      <c r="B227" t="inlineStr">
        <is>
          <t>Holdco debt — closing</t>
        </is>
      </c>
      <c r="C227" t="inlineStr">
        <is>
          <t>FY2024E</t>
        </is>
      </c>
      <c r="D227" s="9">
        <f>'Pro Forma &amp; Returns'!$E$33</f>
        <v>35932.5</v>
      </c>
      <c r="E227" s="9" t="n">
        <v>35932.5</v>
      </c>
      <c r="F227" t="str">
        <f>IF(ABS(D227-E227)&lt;0.5,"OK","DIFF")</f>
        <v>OK</v>
      </c>
    </row>
    <row r="228">
      <c r="B228" t="inlineStr">
        <is>
          <t>Holdco debt — closing</t>
        </is>
      </c>
      <c r="C228" t="inlineStr">
        <is>
          <t>FY2025E</t>
        </is>
      </c>
      <c r="D228" s="9">
        <f>'Pro Forma &amp; Returns'!$F$33</f>
        <v>35932.5</v>
      </c>
      <c r="E228" s="9" t="n">
        <v>35932.5</v>
      </c>
      <c r="F228" t="str">
        <f>IF(ABS(D228-E228)&lt;0.5,"OK","DIFF")</f>
        <v>OK</v>
      </c>
    </row>
    <row r="229">
      <c r="B229" t="inlineStr">
        <is>
          <t>Sponsor equity invested — opening</t>
        </is>
      </c>
      <c r="C229" t="inlineStr">
        <is>
          <t>FY2023E</t>
        </is>
      </c>
      <c r="D229" s="9">
        <f>'Pro Forma &amp; Returns'!$D$34</f>
        <v>15720.84814860001</v>
      </c>
      <c r="E229" s="9" t="n">
        <v>15720.84814860001</v>
      </c>
      <c r="F229" t="str">
        <f>IF(ABS(D229-E229)&lt;0.5,"OK","DIFF")</f>
        <v>OK</v>
      </c>
    </row>
    <row r="230">
      <c r="B230" t="inlineStr">
        <is>
          <t>Sponsor equity invested — opening</t>
        </is>
      </c>
      <c r="C230" t="inlineStr">
        <is>
          <t>FY2024E</t>
        </is>
      </c>
      <c r="D230" s="9">
        <f>'Pro Forma &amp; Returns'!$E$34</f>
        <v>18325.622115562135</v>
      </c>
      <c r="E230" s="9" t="n">
        <v>18325.62211556214</v>
      </c>
      <c r="F230" t="str">
        <f>IF(ABS(D230-E230)&lt;0.5,"OK","DIFF")</f>
        <v>OK</v>
      </c>
    </row>
    <row r="231">
      <c r="B231" t="inlineStr">
        <is>
          <t>Sponsor equity invested — opening</t>
        </is>
      </c>
      <c r="C231" t="inlineStr">
        <is>
          <t>FY2025E</t>
        </is>
      </c>
      <c r="D231" s="9">
        <f>'Pro Forma &amp; Returns'!$F$34</f>
        <v>20733.006539781567</v>
      </c>
      <c r="E231" s="9" t="n">
        <v>20733.00653978157</v>
      </c>
      <c r="F231" t="str">
        <f>IF(ABS(D231-E231)&lt;0.5,"OK","DIFF")</f>
        <v>OK</v>
      </c>
    </row>
    <row r="232">
      <c r="B232" t="inlineStr">
        <is>
          <t>Return on sponsor equity (attributable NI / equity invested)</t>
        </is>
      </c>
      <c r="C232" t="inlineStr">
        <is>
          <t>FY2023E</t>
        </is>
      </c>
      <c r="D232" s="12">
        <f>'Pro Forma &amp; Returns'!$D$37</f>
        <v>-0.14445319500530687</v>
      </c>
      <c r="E232" s="12" t="n">
        <v>-0.1444531950053069</v>
      </c>
      <c r="F232" t="str">
        <f>IF(ABS(D232-E232)&lt;0.000001,"OK","DIFF")</f>
        <v>OK</v>
      </c>
    </row>
    <row r="233">
      <c r="B233" t="inlineStr">
        <is>
          <t>Return on sponsor equity (attributable NI / equity invested)</t>
        </is>
      </c>
      <c r="C233" t="inlineStr">
        <is>
          <t>FY2024E</t>
        </is>
      </c>
      <c r="D233" s="12">
        <f>'Pro Forma &amp; Returns'!$E$37</f>
        <v>-0.04904542326614596</v>
      </c>
      <c r="E233" s="12" t="n">
        <v>-0.04904542326614596</v>
      </c>
      <c r="F233" t="str">
        <f>IF(ABS(D233-E233)&lt;0.000001,"OK","DIFF")</f>
        <v>OK</v>
      </c>
    </row>
    <row r="234">
      <c r="B234" t="inlineStr">
        <is>
          <t>Return on sponsor equity (attributable NI / equity invested)</t>
        </is>
      </c>
      <c r="C234" t="inlineStr">
        <is>
          <t>FY2025E</t>
        </is>
      </c>
      <c r="D234" s="12">
        <f>'Pro Forma &amp; Returns'!$F$37</f>
        <v>0.014253205005392946</v>
      </c>
      <c r="E234" s="12" t="n">
        <v>0.01425320500539295</v>
      </c>
      <c r="F234" t="str">
        <f>IF(ABS(D234-E234)&lt;0.000001,"OK","DIFF")</f>
        <v>OK</v>
      </c>
    </row>
    <row r="235">
      <c r="B235" t="inlineStr">
        <is>
          <t>Cash earnings before acquisition financing</t>
        </is>
      </c>
      <c r="C235" t="inlineStr">
        <is>
          <t>FY2023E</t>
        </is>
      </c>
      <c r="D235" s="9">
        <f>'Pro Forma &amp; Returns'!$D$39</f>
        <v>1822.325637014464</v>
      </c>
      <c r="E235" s="9" t="n">
        <v>1822.325637014464</v>
      </c>
      <c r="F235" t="str">
        <f>IF(ABS(D235-E235)&lt;0.5,"OK","DIFF")</f>
        <v>OK</v>
      </c>
    </row>
    <row r="236">
      <c r="B236" t="inlineStr">
        <is>
          <t>Cash earnings before acquisition financing</t>
        </is>
      </c>
      <c r="C236" t="inlineStr">
        <is>
          <t>FY2024E</t>
        </is>
      </c>
      <c r="D236" s="9">
        <f>'Pro Forma &amp; Returns'!$E$39</f>
        <v>2684.98197588281</v>
      </c>
      <c r="E236" s="9" t="n">
        <v>2684.98197588281</v>
      </c>
      <c r="F236" t="str">
        <f>IF(ABS(D236-E236)&lt;0.5,"OK","DIFF")</f>
        <v>OK</v>
      </c>
    </row>
    <row r="237">
      <c r="B237" t="inlineStr">
        <is>
          <t>Cash earnings before acquisition financing</t>
        </is>
      </c>
      <c r="C237" t="inlineStr">
        <is>
          <t>FY2025E</t>
        </is>
      </c>
      <c r="D237" s="9">
        <f>'Pro Forma &amp; Returns'!$F$39</f>
        <v>3443.360879196439</v>
      </c>
      <c r="E237" s="9" t="n">
        <v>3443.360879196439</v>
      </c>
      <c r="F237" t="str">
        <f>IF(ABS(D237-E237)&lt;0.5,"OK","DIFF")</f>
        <v>OK</v>
      </c>
    </row>
    <row r="238">
      <c r="B238" t="inlineStr">
        <is>
          <t>Cash ROIC on total investment</t>
        </is>
      </c>
      <c r="C238" t="inlineStr">
        <is>
          <t>FY2023E</t>
        </is>
      </c>
      <c r="D238" s="11">
        <f>'Pro Forma &amp; Returns'!$D$40</f>
        <v>0.03527991315823069</v>
      </c>
      <c r="E238" s="11" t="n">
        <v>0.03527991315823069</v>
      </c>
      <c r="F238" t="str">
        <f>IF(ABS(D238-E238)&lt;0.000001,"OK","DIFF")</f>
        <v>OK</v>
      </c>
    </row>
    <row r="239">
      <c r="B239" t="inlineStr">
        <is>
          <t>Cash ROIC on total investment</t>
        </is>
      </c>
      <c r="C239" t="inlineStr">
        <is>
          <t>FY2024E</t>
        </is>
      </c>
      <c r="D239" s="11">
        <f>'Pro Forma &amp; Returns'!$E$40</f>
        <v>0.051980792574345104</v>
      </c>
      <c r="E239" s="11" t="n">
        <v>0.0519807925743451</v>
      </c>
      <c r="F239" t="str">
        <f>IF(ABS(D239-E239)&lt;0.000001,"OK","DIFF")</f>
        <v>OK</v>
      </c>
    </row>
    <row r="240">
      <c r="B240" t="inlineStr">
        <is>
          <t>Cash ROIC on total investment</t>
        </is>
      </c>
      <c r="C240" t="inlineStr">
        <is>
          <t>FY2025E</t>
        </is>
      </c>
      <c r="D240" s="11">
        <f>'Pro Forma &amp; Returns'!$F$40</f>
        <v>0.06666287864419426</v>
      </c>
      <c r="E240" s="11" t="n">
        <v>0.06666287864419426</v>
      </c>
      <c r="F240" t="str">
        <f>IF(ABS(D240-E240)&lt;0.000001,"OK","DIFF")</f>
        <v>OK</v>
      </c>
    </row>
    <row r="241">
      <c r="B241" t="inlineStr">
        <is>
          <t>Breakeven in-year synergies for ROIC = cost of capital</t>
        </is>
      </c>
      <c r="C241" t="inlineStr">
        <is>
          <t>FY2023E</t>
        </is>
      </c>
      <c r="D241" s="9">
        <f>'Pro Forma &amp; Returns'!$D$42</f>
        <v>12935.099496067</v>
      </c>
      <c r="E241" s="9" t="n">
        <v>12935.099496067</v>
      </c>
      <c r="F241" t="str">
        <f>IF(ABS(D241-E241)&lt;0.5,"OK","DIFF")</f>
        <v>OK</v>
      </c>
    </row>
    <row r="242">
      <c r="B242" t="inlineStr">
        <is>
          <t>Breakeven in-year synergies for ROIC = cost of capital</t>
        </is>
      </c>
      <c r="C242" t="inlineStr">
        <is>
          <t>FY2024E</t>
        </is>
      </c>
      <c r="D242" s="9">
        <f>'Pro Forma &amp; Returns'!$E$42</f>
        <v>11965.453686973522</v>
      </c>
      <c r="E242" s="9" t="n">
        <v>11965.45368697352</v>
      </c>
      <c r="F242" t="str">
        <f>IF(ABS(D242-E242)&lt;0.5,"OK","DIFF")</f>
        <v>OK</v>
      </c>
    </row>
    <row r="243">
      <c r="B243" t="inlineStr">
        <is>
          <t>Breakeven in-year synergies for ROIC = cost of capital</t>
        </is>
      </c>
      <c r="C243" t="inlineStr">
        <is>
          <t>FY2025E</t>
        </is>
      </c>
      <c r="D243" s="9">
        <f>'Pro Forma &amp; Returns'!$F$42</f>
        <v>11226.41903743817</v>
      </c>
      <c r="E243" s="9" t="n">
        <v>11226.41903743817</v>
      </c>
      <c r="F243" t="str">
        <f>IF(ABS(D243-E243)&lt;0.5,"OK","DIFF")</f>
        <v>OK</v>
      </c>
    </row>
    <row r="244">
      <c r="B244" t="inlineStr">
        <is>
          <t>Adani share of net synergy NPV (final-year look-through weight)</t>
        </is>
      </c>
      <c r="C244" t="inlineStr"/>
      <c r="D244" s="9">
        <f>'Pro Forma &amp; Returns'!$C$45</f>
        <v>10700.744655009836</v>
      </c>
      <c r="E244" s="9" t="n">
        <v>10700.74465500984</v>
      </c>
      <c r="F244" t="str">
        <f>IF(ABS(D244-E244)&lt;0.5,"OK","DIFF")</f>
        <v>OK</v>
      </c>
    </row>
    <row r="245">
      <c r="B245" t="inlineStr">
        <is>
          <t>Premium paid + transaction costs</t>
        </is>
      </c>
      <c r="C245" t="inlineStr"/>
      <c r="D245" s="9">
        <f>'Pro Forma &amp; Returns'!$C$46</f>
        <v>3991.760507799997</v>
      </c>
      <c r="E245" s="9" t="n">
        <v>3991.760507799997</v>
      </c>
      <c r="F245" t="str">
        <f>IF(ABS(D245-E245)&lt;0.5,"OK","DIFF")</f>
        <v>OK</v>
      </c>
    </row>
    <row r="246">
      <c r="B246" t="inlineStr">
        <is>
          <t>Net value created for Adani</t>
        </is>
      </c>
      <c r="C246" t="inlineStr"/>
      <c r="D246" s="9">
        <f>'Pro Forma &amp; Returns'!$C$47</f>
        <v>6708.984147209839</v>
      </c>
      <c r="E246" s="9" t="n">
        <v>6708.984147209842</v>
      </c>
      <c r="F246" t="str">
        <f>IF(ABS(D246-E246)&lt;0.5,"OK","DIFF")</f>
        <v>OK</v>
      </c>
    </row>
    <row r="247">
      <c r="B247" t="inlineStr">
        <is>
          <t>Breakeven run-rate synergies</t>
        </is>
      </c>
      <c r="C247" t="inlineStr"/>
      <c r="D247" s="9">
        <f>'Pro Forma &amp; Returns'!$C$48</f>
        <v>1310.3372525224252</v>
      </c>
      <c r="E247" s="9" t="n">
        <v>1310.337252522425</v>
      </c>
      <c r="F247" t="str">
        <f>IF(ABS(D247-E247)&lt;0.5,"OK","DIFF")</f>
        <v>OK</v>
      </c>
    </row>
    <row r="248">
      <c r="B248" t="inlineStr">
        <is>
          <t>Fixed assets &amp; CWIP (incl. PP&amp;E step-up)</t>
        </is>
      </c>
      <c r="C248" t="inlineStr"/>
      <c r="D248" s="9">
        <f>'Balance Sheet'!$C$5</f>
        <v>22557.0</v>
      </c>
      <c r="E248" s="9" t="n">
        <v>22557</v>
      </c>
      <c r="F248" t="str">
        <f>IF(ABS(D248-E248)&lt;0.5,"OK","DIFF")</f>
        <v>OK</v>
      </c>
    </row>
    <row r="249">
      <c r="B249" t="inlineStr">
        <is>
          <t>Acquired intangibles</t>
        </is>
      </c>
      <c r="C249" t="inlineStr"/>
      <c r="D249" s="9">
        <f>'Balance Sheet'!$C$6</f>
        <v>16520.0</v>
      </c>
      <c r="E249" s="9" t="n">
        <v>16520</v>
      </c>
      <c r="F249" t="str">
        <f>IF(ABS(D249-E249)&lt;0.5,"OK","DIFF")</f>
        <v>OK</v>
      </c>
    </row>
    <row r="250">
      <c r="B250" t="inlineStr">
        <is>
          <t>Goodwill</t>
        </is>
      </c>
      <c r="C250" t="inlineStr"/>
      <c r="D250" s="9">
        <f>'Balance Sheet'!$C$7</f>
        <v>30218.8652384305</v>
      </c>
      <c r="E250" s="9" t="n">
        <v>30218.8652384305</v>
      </c>
      <c r="F250" t="str">
        <f>IF(ABS(D250-E250)&lt;0.5,"OK","DIFF")</f>
        <v>OK</v>
      </c>
    </row>
    <row r="251">
      <c r="B251" t="inlineStr">
        <is>
          <t>Inventories (incl. step-up)</t>
        </is>
      </c>
      <c r="C251" t="inlineStr"/>
      <c r="D251" s="9">
        <f>'Balance Sheet'!$C$8</f>
        <v>3137.0</v>
      </c>
      <c r="E251" s="9" t="n">
        <v>3137</v>
      </c>
      <c r="F251" t="str">
        <f>IF(ABS(D251-E251)&lt;0.5,"OK","DIFF")</f>
        <v>OK</v>
      </c>
    </row>
    <row r="252">
      <c r="B252" t="inlineStr">
        <is>
          <t>Trade receivables</t>
        </is>
      </c>
      <c r="C252" t="inlineStr"/>
      <c r="D252" s="9">
        <f>'Balance Sheet'!$C$9</f>
        <v>757.0</v>
      </c>
      <c r="E252" s="9" t="n">
        <v>757</v>
      </c>
      <c r="F252" t="str">
        <f>IF(ABS(D252-E252)&lt;0.5,"OK","DIFF")</f>
        <v>OK</v>
      </c>
    </row>
    <row r="253">
      <c r="B253" t="inlineStr">
        <is>
          <t>Cash (targets; holdco holds none)</t>
        </is>
      </c>
      <c r="C253" t="inlineStr"/>
      <c r="D253" s="9">
        <f>'Balance Sheet'!$C$10</f>
        <v>11572.0</v>
      </c>
      <c r="E253" s="9" t="n">
        <v>11572</v>
      </c>
      <c r="F253" t="str">
        <f>IF(ABS(D253-E253)&lt;0.5,"OK","DIFF")</f>
        <v>OK</v>
      </c>
    </row>
    <row r="254">
      <c r="B254" t="inlineStr">
        <is>
          <t>Investments (Ambuja's ACC stake eliminated)</t>
        </is>
      </c>
      <c r="C254" t="inlineStr"/>
      <c r="D254" s="9">
        <f>'Balance Sheet'!$C$11</f>
        <v>193.0</v>
      </c>
      <c r="E254" s="9" t="n">
        <v>193</v>
      </c>
      <c r="F254" t="str">
        <f>IF(ABS(D254-E254)&lt;0.5,"OK","DIFF")</f>
        <v>OK</v>
      </c>
    </row>
    <row r="255">
      <c r="B255" t="inlineStr">
        <is>
          <t>Other assets</t>
        </is>
      </c>
      <c r="C255" t="inlineStr"/>
      <c r="D255" s="9">
        <f>'Balance Sheet'!$C$12</f>
        <v>5512.0</v>
      </c>
      <c r="E255" s="9" t="n">
        <v>5512</v>
      </c>
      <c r="F255" t="str">
        <f>IF(ABS(D255-E255)&lt;0.5,"OK","DIFF")</f>
        <v>OK</v>
      </c>
    </row>
    <row r="256">
      <c r="B256" t="inlineStr">
        <is>
          <t>Total assets</t>
        </is>
      </c>
      <c r="C256" t="inlineStr"/>
      <c r="D256" s="9">
        <f>'Balance Sheet'!$C$13</f>
        <v>90466.8652384305</v>
      </c>
      <c r="E256" s="9" t="n">
        <v>90466.8652384305</v>
      </c>
      <c r="F256" t="str">
        <f>IF(ABS(D256-E256)&lt;0.5,"OK","DIFF")</f>
        <v>OK</v>
      </c>
    </row>
    <row r="257">
      <c r="B257" t="inlineStr">
        <is>
          <t>Acquisition debt (holdco)</t>
        </is>
      </c>
      <c r="C257" t="inlineStr"/>
      <c r="D257" s="9">
        <f>'Balance Sheet'!$C$16</f>
        <v>35932.5</v>
      </c>
      <c r="E257" s="9" t="n">
        <v>35932.5</v>
      </c>
      <c r="F257" t="str">
        <f>IF(ABS(D257-E257)&lt;0.5,"OK","DIFF")</f>
        <v>OK</v>
      </c>
    </row>
    <row r="258">
      <c r="B258" t="inlineStr">
        <is>
          <t>Target borrowings &amp; leases</t>
        </is>
      </c>
      <c r="C258" t="inlineStr"/>
      <c r="D258" s="9">
        <f>'Balance Sheet'!$C$17</f>
        <v>477.0</v>
      </c>
      <c r="E258" s="9" t="n">
        <v>477</v>
      </c>
      <c r="F258" t="str">
        <f>IF(ABS(D258-E258)&lt;0.5,"OK","DIFF")</f>
        <v>OK</v>
      </c>
    </row>
    <row r="259">
      <c r="B259" t="inlineStr">
        <is>
          <t>Deferred tax on step-ups</t>
        </is>
      </c>
      <c r="C259" t="inlineStr"/>
      <c r="D259" s="9">
        <f>'Balance Sheet'!$C$18</f>
        <v>5768.964</v>
      </c>
      <c r="E259" s="9" t="n">
        <v>5768.964000000001</v>
      </c>
      <c r="F259" t="str">
        <f>IF(ABS(D259-E259)&lt;0.5,"OK","DIFF")</f>
        <v>OK</v>
      </c>
    </row>
    <row r="260">
      <c r="B260" t="inlineStr">
        <is>
          <t>Other liabilities</t>
        </is>
      </c>
      <c r="C260" t="inlineStr"/>
      <c r="D260" s="9">
        <f>'Balance Sheet'!$C$19</f>
        <v>12192.0</v>
      </c>
      <c r="E260" s="9" t="n">
        <v>12192</v>
      </c>
      <c r="F260" t="str">
        <f>IF(ABS(D260-E260)&lt;0.5,"OK","DIFF")</f>
        <v>OK</v>
      </c>
    </row>
    <row r="261">
      <c r="B261" t="inlineStr">
        <is>
          <t>Adani equity (sponsor equity less expensed costs)</t>
        </is>
      </c>
      <c r="C261" t="inlineStr"/>
      <c r="D261" s="9">
        <f>'Balance Sheet'!$C$20</f>
        <v>15209.428860000009</v>
      </c>
      <c r="E261" s="9" t="n">
        <v>15209.42886000001</v>
      </c>
      <c r="F261" t="str">
        <f>IF(ABS(D261-E261)&lt;0.5,"OK","DIFF")</f>
        <v>OK</v>
      </c>
    </row>
    <row r="262">
      <c r="B262" t="inlineStr">
        <is>
          <t>Non-controlling interests</t>
        </is>
      </c>
      <c r="C262" t="inlineStr"/>
      <c r="D262" s="9">
        <f>'Balance Sheet'!$C$21</f>
        <v>20886.972378430495</v>
      </c>
      <c r="E262" s="9" t="n">
        <v>20886.9723784305</v>
      </c>
      <c r="F262" t="str">
        <f>IF(ABS(D262-E262)&lt;0.5,"OK","DIFF")</f>
        <v>OK</v>
      </c>
    </row>
    <row r="263">
      <c r="B263" t="inlineStr">
        <is>
          <t>Total liabilities &amp; equity</t>
        </is>
      </c>
      <c r="C263" t="inlineStr"/>
      <c r="D263" s="9">
        <f>'Balance Sheet'!$C$22</f>
        <v>90466.8652384305</v>
      </c>
      <c r="E263" s="9" t="n">
        <v>90466.8652384305</v>
      </c>
      <c r="F263" t="str">
        <f>IF(ABS(D263-E263)&lt;0.5,"OK","DIFF")</f>
        <v>OK</v>
      </c>
    </row>
    <row r="264">
      <c r="B264" t="inlineStr">
        <is>
          <t>Consolidated gross debt</t>
        </is>
      </c>
      <c r="C264" t="inlineStr"/>
      <c r="D264" s="9">
        <f>'Balance Sheet'!$C$25</f>
        <v>36409.5</v>
      </c>
      <c r="E264" s="9" t="n">
        <v>36409.5</v>
      </c>
      <c r="F264" t="str">
        <f>IF(ABS(D264-E264)&lt;0.5,"OK","DIFF")</f>
        <v>OK</v>
      </c>
    </row>
    <row r="265">
      <c r="B265" t="inlineStr">
        <is>
          <t>Gross debt / CY2021 EBITDA</t>
        </is>
      </c>
      <c r="C265" t="inlineStr"/>
      <c r="D265" s="14">
        <f>'Balance Sheet'!$C$26</f>
        <v>5.8583266291230895</v>
      </c>
      <c r="E265" s="14" t="n">
        <v>5.85832662912309</v>
      </c>
      <c r="F265" t="str">
        <f>IF(ABS(D265-E265)&lt;0.000001,"OK","DIFF")</f>
        <v>OK</v>
      </c>
    </row>
    <row r="266">
      <c r="B266" t="inlineStr">
        <is>
          <t>Net debt / CY2021 EBITDA</t>
        </is>
      </c>
      <c r="C266" t="inlineStr"/>
      <c r="D266" s="14">
        <f>'Balance Sheet'!$C$27</f>
        <v>3.996379726468222</v>
      </c>
      <c r="E266" s="14" t="n">
        <v>3.996379726468222</v>
      </c>
      <c r="F266" t="str">
        <f>IF(ABS(D266-E266)&lt;0.000001,"OK","DIFF")</f>
        <v>OK</v>
      </c>
    </row>
    <row r="267">
      <c r="B267" t="inlineStr">
        <is>
          <t>Holdco loan-to-value at cost</t>
        </is>
      </c>
      <c r="C267" t="inlineStr"/>
      <c r="D267" s="12">
        <f>'Balance Sheet'!$C$28</f>
        <v>0.7026035349265861</v>
      </c>
      <c r="E267" s="12" t="n">
        <v>0.7026035349265861</v>
      </c>
      <c r="F267" t="str">
        <f>IF(ABS(D267-E267)&lt;0.000001,"OK","DIFF")</f>
        <v>OK</v>
      </c>
    </row>
    <row r="268">
      <c r="B268" t="inlineStr">
        <is>
          <t>Holdco loan-to-value at completion-day market prices</t>
        </is>
      </c>
      <c r="C268" t="inlineStr"/>
      <c r="D268" s="12">
        <f>'Balance Sheet'!$C$29</f>
        <v>0.5280807622991944</v>
      </c>
      <c r="E268" s="12" t="n">
        <v>0.5280807622991944</v>
      </c>
      <c r="F268" t="str">
        <f>IF(ABS(D268-E268)&lt;0.000001,"OK","DIFF")</f>
        <v>OK</v>
      </c>
    </row>
    <row r="269">
      <c r="B269" t="inlineStr">
        <is>
          <t>Mean EV/t (US$), all</t>
        </is>
      </c>
      <c r="C269" t="inlineStr"/>
      <c r="D269" s="9">
        <f>'Precedents'!$C$12</f>
        <v>107.95229203477231</v>
      </c>
      <c r="E269" s="9" t="n">
        <v>107.9522920347723</v>
      </c>
      <c r="F269" t="str">
        <f>IF(ABS(D269-E269)&lt;0.5,"OK","DIFF")</f>
        <v>OK</v>
      </c>
    </row>
    <row r="270">
      <c r="B270" t="inlineStr">
        <is>
          <t>Median EV/t (US$), all</t>
        </is>
      </c>
      <c r="C270" t="inlineStr"/>
      <c r="D270" s="9">
        <f>'Precedents'!$C$13</f>
        <v>107.61780714032372</v>
      </c>
      <c r="E270" s="9" t="n">
        <v>107.6178071403237</v>
      </c>
      <c r="F270" t="str">
        <f>IF(ABS(D270-E270)&lt;0.5,"OK","DIFF")</f>
        <v>OK</v>
      </c>
    </row>
    <row r="271">
      <c r="B271" t="inlineStr">
        <is>
          <t>Median EV/t (US$), excluding distressed</t>
        </is>
      </c>
      <c r="C271" t="inlineStr"/>
      <c r="D271" s="9">
        <f>'Precedents'!$C$14</f>
        <v>115.05681414369415</v>
      </c>
      <c r="E271" s="9" t="n">
        <v>115.0568141436942</v>
      </c>
      <c r="F271" t="str">
        <f>IF(ABS(D271-E271)&lt;0.5,"OK","DIFF")</f>
        <v>OK</v>
      </c>
    </row>
    <row r="272">
      <c r="B272" t="inlineStr">
        <is>
          <t>This deal EV/t (US$)</t>
        </is>
      </c>
      <c r="C272" t="inlineStr"/>
      <c r="D272" s="9">
        <f>'Precedents'!$C$15</f>
        <v>161.27647301653568</v>
      </c>
      <c r="E272" s="9" t="n">
        <v>161.2764730165357</v>
      </c>
      <c r="F272" t="str">
        <f>IF(ABS(D272-E272)&lt;0.5,"OK","DIFF")</f>
        <v>OK</v>
      </c>
    </row>
    <row r="273">
      <c r="B273" t="inlineStr">
        <is>
          <t>This deal vs median (ex-distressed)</t>
        </is>
      </c>
      <c r="C273" t="inlineStr"/>
      <c r="D273" s="12">
        <f>'Precedents'!$C$16</f>
        <v>0.4017116171417532</v>
      </c>
      <c r="E273" s="12" t="n">
        <v>0.4017116171417532</v>
      </c>
      <c r="F273" t="str">
        <f>IF(ABS(D273-E273)&lt;0.000001,"OK","DIFF")</f>
        <v>OK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9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80" customWidth="1" min="8" max="8"/>
  </cols>
  <sheetData>
    <row r="1">
      <c r="B1" s="1" t="inlineStr">
        <is>
          <t>Inputs</t>
        </is>
      </c>
    </row>
    <row r="2">
      <c r="B2" s="2" t="inlineStr">
        <is>
          <t>Every hard-coded number used by the formulas. Change blue cells only.</t>
        </is>
      </c>
    </row>
    <row r="4">
      <c r="B4" s="3" t="inlineStr">
        <is>
          <t>Deal terms (filed)</t>
        </is>
      </c>
      <c r="C4" s="4" t="n"/>
      <c r="D4" s="4" t="n"/>
      <c r="E4" s="4" t="n"/>
      <c r="F4" s="4" t="n"/>
      <c r="G4" s="4" t="n"/>
      <c r="H4" s="4" t="n"/>
    </row>
    <row r="5">
      <c r="B5" s="5" t="inlineStr">
        <is>
          <t>INR per USD at completion (16-Sep-2022)</t>
        </is>
      </c>
      <c r="C5" s="15" t="n">
        <v>79.84999999999999</v>
      </c>
      <c r="H5" s="2" t="inlineStr">
        <is>
          <t>[FILED] NSE / Yahoo USDINR close</t>
        </is>
      </c>
    </row>
    <row r="6">
      <c r="B6" s="5" t="inlineStr">
        <is>
          <t>Ambuja shares outstanding (crore)</t>
        </is>
      </c>
      <c r="C6" s="15" t="n">
        <v>198.56</v>
      </c>
      <c r="H6" s="2" t="inlineStr">
        <is>
          <t>[DERIVED] share capital ₹397.13 Cr / ₹2 face value</t>
        </is>
      </c>
    </row>
    <row r="7">
      <c r="B7" s="5" t="inlineStr">
        <is>
          <t>Holcim stake in Ambuja sold</t>
        </is>
      </c>
      <c r="C7" s="16" t="n">
        <v>0.6311</v>
      </c>
      <c r="H7" s="2" t="inlineStr">
        <is>
          <t>[FILED] Holcim release</t>
        </is>
      </c>
    </row>
    <row r="8">
      <c r="B8" s="5" t="inlineStr">
        <is>
          <t>Ambuja open-offer shares tendered (crore)</t>
        </is>
      </c>
      <c r="C8" s="17" t="n">
        <v>0.0727</v>
      </c>
      <c r="H8" s="2" t="inlineStr">
        <is>
          <t>[FILED] Business Standard, 10-Sep-2022</t>
        </is>
      </c>
    </row>
    <row r="9">
      <c r="B9" s="5" t="inlineStr">
        <is>
          <t>Ambuja offer price (₹/share)</t>
        </is>
      </c>
      <c r="C9" s="15" t="n">
        <v>385</v>
      </c>
      <c r="H9" s="2" t="inlineStr">
        <is>
          <t>[FILED] Holcim release</t>
        </is>
      </c>
    </row>
    <row r="10">
      <c r="B10" s="5" t="inlineStr">
        <is>
          <t>Ambuja undisturbed close 13-May-2022 (₹)</t>
        </is>
      </c>
      <c r="C10" s="15" t="n">
        <v>359.1</v>
      </c>
      <c r="H10" s="2" t="inlineStr">
        <is>
          <t>[FILED] NSE close</t>
        </is>
      </c>
    </row>
    <row r="11">
      <c r="B11" s="5" t="inlineStr">
        <is>
          <t>Ambuja close at completion 16-Sep-2022 (₹)</t>
        </is>
      </c>
      <c r="C11" s="15" t="n">
        <v>516.7</v>
      </c>
      <c r="H11" s="2" t="inlineStr">
        <is>
          <t>[FILED] NSE close</t>
        </is>
      </c>
    </row>
    <row r="12">
      <c r="B12" s="5" t="inlineStr">
        <is>
          <t>Ambuja's stake in ACC</t>
        </is>
      </c>
      <c r="C12" s="16" t="n">
        <v>0.5004999999999999</v>
      </c>
      <c r="H12" s="2" t="inlineStr">
        <is>
          <t>[FILED] Holcim release</t>
        </is>
      </c>
    </row>
    <row r="13">
      <c r="B13" s="5" t="inlineStr">
        <is>
          <t>ACC shares outstanding (crore)</t>
        </is>
      </c>
      <c r="C13" s="15" t="n">
        <v>18.78</v>
      </c>
      <c r="H13" s="2" t="inlineStr">
        <is>
          <t>[FILED]</t>
        </is>
      </c>
    </row>
    <row r="14">
      <c r="B14" s="5" t="inlineStr">
        <is>
          <t>Holcim direct stake in ACC sold</t>
        </is>
      </c>
      <c r="C14" s="16" t="n">
        <v>0.04480000000000001</v>
      </c>
      <c r="H14" s="2" t="inlineStr">
        <is>
          <t>[FILED] Holcim release</t>
        </is>
      </c>
    </row>
    <row r="15">
      <c r="B15" s="5" t="inlineStr">
        <is>
          <t>ACC open-offer shares tendered (crore)</t>
        </is>
      </c>
      <c r="C15" s="17" t="n">
        <v>0.4061</v>
      </c>
      <c r="H15" s="2" t="inlineStr">
        <is>
          <t>[FILED] Business Standard, 10-Sep-2022</t>
        </is>
      </c>
    </row>
    <row r="16">
      <c r="B16" s="5" t="inlineStr">
        <is>
          <t>ACC offer price (₹/share)</t>
        </is>
      </c>
      <c r="C16" s="15" t="n">
        <v>2300</v>
      </c>
      <c r="H16" s="2" t="inlineStr">
        <is>
          <t>[FILED] Holcim release</t>
        </is>
      </c>
    </row>
    <row r="17">
      <c r="B17" s="5" t="inlineStr">
        <is>
          <t>ACC undisturbed close 13-May-2022 (₹)</t>
        </is>
      </c>
      <c r="C17" s="15" t="n">
        <v>2113.3</v>
      </c>
      <c r="H17" s="2" t="inlineStr">
        <is>
          <t>[FILED] NSE close</t>
        </is>
      </c>
    </row>
    <row r="18">
      <c r="B18" s="5" t="inlineStr">
        <is>
          <t>ACC close at completion 16-Sep-2022 (₹)</t>
        </is>
      </c>
      <c r="C18" s="15" t="n">
        <v>2611.5</v>
      </c>
      <c r="H18" s="2" t="inlineStr">
        <is>
          <t>[FILED] NSE close</t>
        </is>
      </c>
    </row>
    <row r="19">
      <c r="B19" s="5" t="inlineStr">
        <is>
          <t>Combined capacity (MTPA)</t>
        </is>
      </c>
      <c r="C19" s="18" t="n">
        <v>67.5</v>
      </c>
      <c r="H19" s="2" t="inlineStr">
        <is>
          <t>[FILED] Adani release</t>
        </is>
      </c>
    </row>
    <row r="20">
      <c r="B20" s="5" t="inlineStr">
        <is>
          <t>Reported consideration (US$ bn)</t>
        </is>
      </c>
      <c r="C20" s="15" t="n">
        <v>6.5</v>
      </c>
      <c r="H20" s="2" t="inlineStr">
        <is>
          <t>[FILED] Adani release — used in Checks only</t>
        </is>
      </c>
    </row>
    <row r="21">
      <c r="B21" s="5" t="inlineStr">
        <is>
          <t>Reported post-deal stake in Ambuja</t>
        </is>
      </c>
      <c r="C21" s="16" t="n">
        <v>0.6315</v>
      </c>
      <c r="H21" s="2" t="inlineStr">
        <is>
          <t>[FILED] Adani release — used in Checks only</t>
        </is>
      </c>
    </row>
    <row r="22">
      <c r="B22" s="5" t="inlineStr">
        <is>
          <t>Reported post-deal stake in ACC (incl. via Ambuja)</t>
        </is>
      </c>
      <c r="C22" s="16" t="n">
        <v>0.5669</v>
      </c>
      <c r="H22" s="2" t="inlineStr">
        <is>
          <t>[FILED] Adani release — used in Checks only</t>
        </is>
      </c>
    </row>
    <row r="23">
      <c r="B23" s="5" t="inlineStr">
        <is>
          <t>Transaction costs (% of consideration)</t>
        </is>
      </c>
      <c r="C23" s="19" t="n">
        <v>0.01</v>
      </c>
      <c r="H23" s="2" t="inlineStr">
        <is>
          <t>[ASSUMPTION] advisory, legal, stamp duty; expensed</t>
        </is>
      </c>
    </row>
    <row r="25">
      <c r="B25" s="3" t="inlineStr">
        <is>
          <t>Acquisition financing (holdco)</t>
        </is>
      </c>
      <c r="C25" s="4" t="n"/>
      <c r="D25" s="4" t="n"/>
      <c r="E25" s="4" t="n"/>
      <c r="F25" s="4" t="n"/>
      <c r="G25" s="4" t="n"/>
      <c r="H25" s="4" t="n"/>
    </row>
    <row r="26">
      <c r="B26" s="5" t="inlineStr">
        <is>
          <t>Acquisition facilities (US$ bn)</t>
        </is>
      </c>
      <c r="C26" s="15" t="n">
        <v>4.5</v>
      </c>
      <c r="H26" s="2" t="inlineStr">
        <is>
          <t>[FILED] Adani release: US$4.5bn from 14 banks</t>
        </is>
      </c>
    </row>
    <row r="27">
      <c r="B27" s="5" t="inlineStr">
        <is>
          <t>of which bridge loans (US$ bn)</t>
        </is>
      </c>
      <c r="C27" s="15" t="n">
        <v>3.5</v>
      </c>
      <c r="H27" s="2" t="inlineStr">
        <is>
          <t>[FILED] Business Standard, 1-Dec-2022</t>
        </is>
      </c>
    </row>
    <row r="28">
      <c r="B28" s="5" t="inlineStr">
        <is>
          <t>Term loan rate</t>
        </is>
      </c>
      <c r="C28" s="16" t="n">
        <v>0.075</v>
      </c>
      <c r="H28" s="2" t="inlineStr">
        <is>
          <t>[ASSUMPTION] USD SOFR + ~275bp</t>
        </is>
      </c>
    </row>
    <row r="29">
      <c r="B29" s="5" t="inlineStr">
        <is>
          <t>Bridge loan rate (Year 1)</t>
        </is>
      </c>
      <c r="C29" s="16" t="n">
        <v>0.08</v>
      </c>
      <c r="H29" s="2" t="inlineStr">
        <is>
          <t>[ASSUMPTION]</t>
        </is>
      </c>
    </row>
    <row r="30">
      <c r="B30" s="5" t="inlineStr">
        <is>
          <t>Refinanced rate (Year 2 onward)</t>
        </is>
      </c>
      <c r="C30" s="16" t="n">
        <v>0.075</v>
      </c>
      <c r="H30" s="2" t="inlineStr">
        <is>
          <t>[ASSUMPTION] bridge refinanced into 5-yr debt</t>
        </is>
      </c>
    </row>
    <row r="31">
      <c r="B31" s="5" t="inlineStr">
        <is>
          <t>Holdco interest tax-deductible? (1 = yes, 0 = no)</t>
        </is>
      </c>
      <c r="C31" s="20" t="n">
        <v>0</v>
      </c>
      <c r="H31" s="2" t="inlineStr">
        <is>
          <t>[ASSUMPTION] Mauritius SPV has no taxable income; no tax consolidation in India</t>
        </is>
      </c>
    </row>
    <row r="32">
      <c r="B32" s="5" t="inlineStr">
        <is>
          <t>Withholding tax on Ambuja dividends</t>
        </is>
      </c>
      <c r="C32" s="19" t="n">
        <v>0.05</v>
      </c>
      <c r="H32" s="2" t="inlineStr">
        <is>
          <t>[ASSUMPTION] India–Mauritius DTAA (&gt;=10% holding)</t>
        </is>
      </c>
    </row>
    <row r="33">
      <c r="B33" s="5" t="inlineStr">
        <is>
          <t>Withholding tax on ACC dividends</t>
        </is>
      </c>
      <c r="C33" s="19" t="n">
        <v>0.15</v>
      </c>
      <c r="H33" s="2" t="inlineStr">
        <is>
          <t>[ASSUMPTION] DTAA (&lt;10% direct holding)</t>
        </is>
      </c>
    </row>
    <row r="35">
      <c r="B35" s="3" t="inlineStr">
        <is>
          <t>Projections and cost of capital</t>
        </is>
      </c>
      <c r="C35" s="21" t="inlineStr">
        <is>
          <t>CY2021A</t>
        </is>
      </c>
      <c r="D35" s="21" t="inlineStr">
        <is>
          <t>FY2023E</t>
        </is>
      </c>
      <c r="E35" s="21" t="inlineStr">
        <is>
          <t>FY2024E</t>
        </is>
      </c>
      <c r="F35" s="21" t="inlineStr">
        <is>
          <t>FY2025E</t>
        </is>
      </c>
      <c r="G35" s="4" t="n"/>
      <c r="H35" s="4" t="n"/>
    </row>
    <row r="36">
      <c r="B36" s="5" t="inlineStr">
        <is>
          <t>Ambuja revenue growth</t>
        </is>
      </c>
      <c r="D36" s="19" t="n">
        <v>0.12</v>
      </c>
      <c r="E36" s="19" t="n">
        <v>0.09</v>
      </c>
      <c r="F36" s="19" t="n">
        <v>0.08</v>
      </c>
      <c r="H36" s="2" t="inlineStr">
        <is>
          <t>[ASSUMPTION] Year 1 vs CY2021</t>
        </is>
      </c>
    </row>
    <row r="37">
      <c r="B37" s="5" t="inlineStr">
        <is>
          <t>ACC revenue growth</t>
        </is>
      </c>
      <c r="D37" s="19" t="n">
        <v>0.12</v>
      </c>
      <c r="E37" s="19" t="n">
        <v>0.09</v>
      </c>
      <c r="F37" s="19" t="n">
        <v>0.08</v>
      </c>
      <c r="H37" s="2" t="inlineStr">
        <is>
          <t>[ASSUMPTION]</t>
        </is>
      </c>
    </row>
    <row r="38">
      <c r="B38" s="5" t="inlineStr">
        <is>
          <t>Ambuja EBITDA margin</t>
        </is>
      </c>
      <c r="D38" s="19" t="n">
        <v>0.18</v>
      </c>
      <c r="E38" s="19" t="n">
        <v>0.2</v>
      </c>
      <c r="F38" s="19" t="n">
        <v>0.21</v>
      </c>
      <c r="H38" s="2" t="inlineStr">
        <is>
          <t>[ASSUMPTION] CY2021 actual 23.0%</t>
        </is>
      </c>
    </row>
    <row r="39">
      <c r="B39" s="5" t="inlineStr">
        <is>
          <t>ACC EBITDA margin</t>
        </is>
      </c>
      <c r="D39" s="19" t="n">
        <v>0.12</v>
      </c>
      <c r="E39" s="19" t="n">
        <v>0.14</v>
      </c>
      <c r="F39" s="19" t="n">
        <v>0.15</v>
      </c>
      <c r="H39" s="2" t="inlineStr">
        <is>
          <t>[ASSUMPTION] CY2021 actual 18.6%</t>
        </is>
      </c>
    </row>
    <row r="40">
      <c r="B40" s="5" t="inlineStr">
        <is>
          <t>Corporate tax rate</t>
        </is>
      </c>
      <c r="C40" s="16" t="n">
        <v>0.2517</v>
      </c>
      <c r="H40" s="2" t="inlineStr">
        <is>
          <t>[FILED] s.115BAA</t>
        </is>
      </c>
    </row>
    <row r="41">
      <c r="B41" s="5" t="inlineStr">
        <is>
          <t>Dividend payout ratio (Ambuja &amp; ACC)</t>
        </is>
      </c>
      <c r="C41" s="19" t="n">
        <v>0.2</v>
      </c>
      <c r="H41" s="2" t="inlineStr">
        <is>
          <t>[ASSUMPTION] in line with 2019-20 history (19%)</t>
        </is>
      </c>
    </row>
    <row r="42">
      <c r="B42" s="5" t="inlineStr">
        <is>
          <t>Risk-free rate (India 10Y)</t>
        </is>
      </c>
      <c r="C42" s="16" t="n">
        <v>0.0725</v>
      </c>
      <c r="H42" s="2" t="inlineStr">
        <is>
          <t>[ASSUMPTION]</t>
        </is>
      </c>
    </row>
    <row r="43">
      <c r="B43" s="5" t="inlineStr">
        <is>
          <t>Equity risk premium</t>
        </is>
      </c>
      <c r="C43" s="16" t="n">
        <v>0.065</v>
      </c>
      <c r="H43" s="2" t="inlineStr">
        <is>
          <t>[ASSUMPTION]</t>
        </is>
      </c>
    </row>
    <row r="44">
      <c r="B44" s="5" t="inlineStr">
        <is>
          <t>Asset beta (Indian cement)</t>
        </is>
      </c>
      <c r="C44" s="15" t="n">
        <v>0.85</v>
      </c>
      <c r="H44" s="2" t="inlineStr">
        <is>
          <t>[ASSUMPTION] targets are net-cash, so equity beta ≈ asset beta</t>
        </is>
      </c>
    </row>
    <row r="45">
      <c r="B45" s="5" t="inlineStr">
        <is>
          <t>Synergy terminal growth</t>
        </is>
      </c>
      <c r="C45" s="19" t="n">
        <v>0.04</v>
      </c>
      <c r="H45" s="2" t="inlineStr">
        <is>
          <t>[ASSUMPTION] RBI CPI target</t>
        </is>
      </c>
    </row>
    <row r="47">
      <c r="B47" s="3" t="inlineStr">
        <is>
          <t>Purchase price allocation (illustrative estimates)</t>
        </is>
      </c>
      <c r="C47" s="4" t="n"/>
      <c r="D47" s="4" t="n"/>
      <c r="E47" s="4" t="n"/>
      <c r="F47" s="4" t="n"/>
      <c r="G47" s="4" t="n"/>
      <c r="H47" s="4" t="n"/>
    </row>
    <row r="48">
      <c r="B48" s="5" t="inlineStr">
        <is>
          <t>AMBUJA step-up: ppe</t>
        </is>
      </c>
      <c r="C48" s="22" t="n">
        <v>3200</v>
      </c>
      <c r="H48" s="2" t="inlineStr">
        <is>
          <t>[ASSUMPTION] no public PPA for the holdco</t>
        </is>
      </c>
    </row>
    <row r="49">
      <c r="B49" s="5" t="inlineStr">
        <is>
          <t>AMBUJA step-up: mineral rights</t>
        </is>
      </c>
      <c r="C49" s="22" t="n">
        <v>4500</v>
      </c>
      <c r="H49" s="2" t="inlineStr">
        <is>
          <t>[ASSUMPTION] no public PPA for the holdco</t>
        </is>
      </c>
    </row>
    <row r="50">
      <c r="B50" s="5" t="inlineStr">
        <is>
          <t>AMBUJA step-up: brand</t>
        </is>
      </c>
      <c r="C50" s="22" t="n">
        <v>2800</v>
      </c>
      <c r="H50" s="2" t="inlineStr">
        <is>
          <t>[ASSUMPTION] no public PPA for the holdco</t>
        </is>
      </c>
    </row>
    <row r="51">
      <c r="B51" s="5" t="inlineStr">
        <is>
          <t>AMBUJA step-up: customer relationships</t>
        </is>
      </c>
      <c r="C51" s="22" t="n">
        <v>1200</v>
      </c>
      <c r="H51" s="2" t="inlineStr">
        <is>
          <t>[ASSUMPTION] no public PPA for the holdco</t>
        </is>
      </c>
    </row>
    <row r="52">
      <c r="B52" s="5" t="inlineStr">
        <is>
          <t>AMBUJA step-up: favourable contracts</t>
        </is>
      </c>
      <c r="C52" s="22" t="n">
        <v>650</v>
      </c>
      <c r="H52" s="2" t="inlineStr">
        <is>
          <t>[ASSUMPTION] no public PPA for the holdco</t>
        </is>
      </c>
    </row>
    <row r="53">
      <c r="B53" s="5" t="inlineStr">
        <is>
          <t>AMBUJA step-up: inventory</t>
        </is>
      </c>
      <c r="C53" s="22" t="n">
        <v>180</v>
      </c>
      <c r="H53" s="2" t="inlineStr">
        <is>
          <t>[ASSUMPTION] no public PPA for the holdco</t>
        </is>
      </c>
    </row>
    <row r="54">
      <c r="B54" s="5" t="inlineStr">
        <is>
          <t>ACC step-up: ppe</t>
        </is>
      </c>
      <c r="C54" s="22" t="n">
        <v>2800</v>
      </c>
      <c r="H54" s="2" t="inlineStr">
        <is>
          <t>[ASSUMPTION] no public PPA for the holdco</t>
        </is>
      </c>
    </row>
    <row r="55">
      <c r="B55" s="5" t="inlineStr">
        <is>
          <t>ACC step-up: mineral rights</t>
        </is>
      </c>
      <c r="C55" s="22" t="n">
        <v>3800</v>
      </c>
      <c r="H55" s="2" t="inlineStr">
        <is>
          <t>[ASSUMPTION] no public PPA for the holdco</t>
        </is>
      </c>
    </row>
    <row r="56">
      <c r="B56" s="5" t="inlineStr">
        <is>
          <t>ACC step-up: brand</t>
        </is>
      </c>
      <c r="C56" s="22" t="n">
        <v>2200</v>
      </c>
      <c r="H56" s="2" t="inlineStr">
        <is>
          <t>[ASSUMPTION] no public PPA for the holdco</t>
        </is>
      </c>
    </row>
    <row r="57">
      <c r="B57" s="5" t="inlineStr">
        <is>
          <t>ACC step-up: customer relationships</t>
        </is>
      </c>
      <c r="C57" s="22" t="n">
        <v>950</v>
      </c>
      <c r="H57" s="2" t="inlineStr">
        <is>
          <t>[ASSUMPTION] no public PPA for the holdco</t>
        </is>
      </c>
    </row>
    <row r="58">
      <c r="B58" s="5" t="inlineStr">
        <is>
          <t>ACC step-up: favourable contracts</t>
        </is>
      </c>
      <c r="C58" s="22" t="n">
        <v>420</v>
      </c>
      <c r="H58" s="2" t="inlineStr">
        <is>
          <t>[ASSUMPTION] no public PPA for the holdco</t>
        </is>
      </c>
    </row>
    <row r="59">
      <c r="B59" s="5" t="inlineStr">
        <is>
          <t>ACC step-up: inventory</t>
        </is>
      </c>
      <c r="C59" s="22" t="n">
        <v>220</v>
      </c>
      <c r="H59" s="2" t="inlineStr">
        <is>
          <t>[ASSUMPTION] no public PPA for the holdco</t>
        </is>
      </c>
    </row>
    <row r="60">
      <c r="B60" s="5" t="inlineStr">
        <is>
          <t>PP&amp;E step-up life (years)</t>
        </is>
      </c>
      <c r="C60" s="20" t="n">
        <v>15</v>
      </c>
      <c r="H60" s="2" t="inlineStr">
        <is>
          <t>[ASSUMPTION]</t>
        </is>
      </c>
    </row>
    <row r="61">
      <c r="B61" s="5" t="inlineStr">
        <is>
          <t>Finite intangibles life (years)</t>
        </is>
      </c>
      <c r="C61" s="20" t="n">
        <v>15</v>
      </c>
      <c r="H61" s="2" t="inlineStr">
        <is>
          <t>[ASSUMPTION] mineral rights, customers, contracts; brand indefinite; inventory released in Year 1</t>
        </is>
      </c>
    </row>
    <row r="63">
      <c r="B63" s="3" t="inlineStr">
        <is>
          <t>CY2021 base and closing balance sheet (filed, standalone)</t>
        </is>
      </c>
      <c r="C63" s="4" t="n"/>
      <c r="D63" s="4" t="n"/>
      <c r="E63" s="4" t="n"/>
      <c r="F63" s="4" t="n"/>
      <c r="G63" s="4" t="n"/>
      <c r="H63" s="4" t="n"/>
    </row>
    <row r="64">
      <c r="B64" s="5" t="inlineStr">
        <is>
          <t>Ambuja revenue CY2021</t>
        </is>
      </c>
      <c r="C64" s="22" t="n">
        <v>13979</v>
      </c>
      <c r="H64" s="2" t="inlineStr">
        <is>
          <t>[FILED] Screener (standalone)</t>
        </is>
      </c>
    </row>
    <row r="65">
      <c r="B65" s="5" t="inlineStr">
        <is>
          <t>Ambuja depreciation CY2021</t>
        </is>
      </c>
      <c r="C65" s="22" t="n">
        <v>552</v>
      </c>
      <c r="H65" s="2" t="inlineStr">
        <is>
          <t>[FILED]</t>
        </is>
      </c>
    </row>
    <row r="66">
      <c r="B66" s="5" t="inlineStr">
        <is>
          <t>Ambuja interest expense CY2021</t>
        </is>
      </c>
      <c r="C66" s="22" t="n">
        <v>91</v>
      </c>
      <c r="H66" s="2" t="inlineStr">
        <is>
          <t>[FILED]</t>
        </is>
      </c>
    </row>
    <row r="67">
      <c r="B67" s="5" t="inlineStr">
        <is>
          <t>Ambuja other income CY2021 (pre-exceptional)</t>
        </is>
      </c>
      <c r="C67" s="22" t="n">
        <v>281</v>
      </c>
      <c r="H67" s="2" t="inlineStr">
        <is>
          <t>[FILED]</t>
        </is>
      </c>
    </row>
    <row r="68">
      <c r="B68" s="5" t="inlineStr">
        <is>
          <t>Ambuja 31-Dec-2021: share capital</t>
        </is>
      </c>
      <c r="C68" s="22" t="n">
        <v>397</v>
      </c>
      <c r="H68" s="2" t="inlineStr">
        <is>
          <t>[FILED]</t>
        </is>
      </c>
    </row>
    <row r="69">
      <c r="B69" s="5" t="inlineStr">
        <is>
          <t>Ambuja 31-Dec-2021: reserves</t>
        </is>
      </c>
      <c r="C69" s="22" t="n">
        <v>21808</v>
      </c>
      <c r="H69" s="2" t="inlineStr">
        <is>
          <t>[FILED]</t>
        </is>
      </c>
    </row>
    <row r="70">
      <c r="B70" s="5" t="inlineStr">
        <is>
          <t>Ambuja 31-Dec-2021: borrowings</t>
        </is>
      </c>
      <c r="C70" s="22" t="n">
        <v>351</v>
      </c>
      <c r="H70" s="2" t="inlineStr">
        <is>
          <t>[FILED]</t>
        </is>
      </c>
    </row>
    <row r="71">
      <c r="B71" s="5" t="inlineStr">
        <is>
          <t>Ambuja 31-Dec-2021: other liabilities</t>
        </is>
      </c>
      <c r="C71" s="22" t="n">
        <v>5627</v>
      </c>
      <c r="H71" s="2" t="inlineStr">
        <is>
          <t>[FILED]</t>
        </is>
      </c>
    </row>
    <row r="72">
      <c r="B72" s="5" t="inlineStr">
        <is>
          <t>Ambuja 31-Dec-2021: fixed assets</t>
        </is>
      </c>
      <c r="C72" s="22" t="n">
        <v>7671</v>
      </c>
      <c r="H72" s="2" t="inlineStr">
        <is>
          <t>[FILED]</t>
        </is>
      </c>
    </row>
    <row r="73">
      <c r="B73" s="5" t="inlineStr">
        <is>
          <t>Ambuja 31-Dec-2021: cwip</t>
        </is>
      </c>
      <c r="C73" s="22" t="n">
        <v>951</v>
      </c>
      <c r="H73" s="2" t="inlineStr">
        <is>
          <t>[FILED]</t>
        </is>
      </c>
    </row>
    <row r="74">
      <c r="B74" s="5" t="inlineStr">
        <is>
          <t>Ambuja 31-Dec-2021: investments</t>
        </is>
      </c>
      <c r="C74" s="22" t="n">
        <v>11774</v>
      </c>
      <c r="H74" s="2" t="inlineStr">
        <is>
          <t>[FILED]</t>
        </is>
      </c>
    </row>
    <row r="75">
      <c r="B75" s="5" t="inlineStr">
        <is>
          <t>Ambuja 31-Dec-2021: inventories</t>
        </is>
      </c>
      <c r="C75" s="22" t="n">
        <v>1464</v>
      </c>
      <c r="H75" s="2" t="inlineStr">
        <is>
          <t>[FILED]</t>
        </is>
      </c>
    </row>
    <row r="76">
      <c r="B76" s="5" t="inlineStr">
        <is>
          <t>Ambuja 31-Dec-2021: trade receivables</t>
        </is>
      </c>
      <c r="C76" s="22" t="n">
        <v>295</v>
      </c>
      <c r="H76" s="2" t="inlineStr">
        <is>
          <t>[FILED]</t>
        </is>
      </c>
    </row>
    <row r="77">
      <c r="B77" s="5" t="inlineStr">
        <is>
          <t>Ambuja 31-Dec-2021: cash</t>
        </is>
      </c>
      <c r="C77" s="22" t="n">
        <v>4169</v>
      </c>
      <c r="H77" s="2" t="inlineStr">
        <is>
          <t>[FILED]</t>
        </is>
      </c>
    </row>
    <row r="78">
      <c r="B78" s="5" t="inlineStr">
        <is>
          <t>Ambuja 31-Dec-2021: other assets</t>
        </is>
      </c>
      <c r="C78" s="22" t="n">
        <v>1859</v>
      </c>
      <c r="H78" s="2" t="inlineStr">
        <is>
          <t>[FILED]</t>
        </is>
      </c>
    </row>
    <row r="79">
      <c r="B79" s="5" t="inlineStr">
        <is>
          <t>ACC revenue CY2021</t>
        </is>
      </c>
      <c r="C79" s="22" t="n">
        <v>16151</v>
      </c>
      <c r="H79" s="2" t="inlineStr">
        <is>
          <t>[FILED] Screener (standalone)</t>
        </is>
      </c>
    </row>
    <row r="80">
      <c r="B80" s="5" t="inlineStr">
        <is>
          <t>ACC depreciation CY2021</t>
        </is>
      </c>
      <c r="C80" s="22" t="n">
        <v>597</v>
      </c>
      <c r="H80" s="2" t="inlineStr">
        <is>
          <t>[FILED]</t>
        </is>
      </c>
    </row>
    <row r="81">
      <c r="B81" s="5" t="inlineStr">
        <is>
          <t>ACC interest expense CY2021</t>
        </is>
      </c>
      <c r="C81" s="22" t="n">
        <v>55</v>
      </c>
      <c r="H81" s="2" t="inlineStr">
        <is>
          <t>[FILED]</t>
        </is>
      </c>
    </row>
    <row r="82">
      <c r="B82" s="5" t="inlineStr">
        <is>
          <t>ACC other income CY2021 (pre-exceptional)</t>
        </is>
      </c>
      <c r="C82" s="22" t="n">
        <v>203</v>
      </c>
      <c r="H82" s="2" t="inlineStr">
        <is>
          <t>[FILED]</t>
        </is>
      </c>
    </row>
    <row r="83">
      <c r="B83" s="5" t="inlineStr">
        <is>
          <t>ACC 31-Dec-2021: share capital</t>
        </is>
      </c>
      <c r="C83" s="22" t="n">
        <v>188</v>
      </c>
      <c r="H83" s="2" t="inlineStr">
        <is>
          <t>[FILED]</t>
        </is>
      </c>
    </row>
    <row r="84">
      <c r="B84" s="5" t="inlineStr">
        <is>
          <t>ACC 31-Dec-2021: reserves</t>
        </is>
      </c>
      <c r="C84" s="22" t="n">
        <v>14040</v>
      </c>
      <c r="H84" s="2" t="inlineStr">
        <is>
          <t>[FILED]</t>
        </is>
      </c>
    </row>
    <row r="85">
      <c r="B85" s="5" t="inlineStr">
        <is>
          <t>ACC 31-Dec-2021: borrowings</t>
        </is>
      </c>
      <c r="C85" s="22" t="n">
        <v>126</v>
      </c>
      <c r="H85" s="2" t="inlineStr">
        <is>
          <t>[FILED]</t>
        </is>
      </c>
    </row>
    <row r="86">
      <c r="B86" s="5" t="inlineStr">
        <is>
          <t>ACC 31-Dec-2021: other liabilities</t>
        </is>
      </c>
      <c r="C86" s="22" t="n">
        <v>6565</v>
      </c>
      <c r="H86" s="2" t="inlineStr">
        <is>
          <t>[FILED]</t>
        </is>
      </c>
    </row>
    <row r="87">
      <c r="B87" s="5" t="inlineStr">
        <is>
          <t>ACC 31-Dec-2021: fixed assets</t>
        </is>
      </c>
      <c r="C87" s="22" t="n">
        <v>6723</v>
      </c>
      <c r="H87" s="2" t="inlineStr">
        <is>
          <t>[FILED]</t>
        </is>
      </c>
    </row>
    <row r="88">
      <c r="B88" s="5" t="inlineStr">
        <is>
          <t>ACC 31-Dec-2021: cwip</t>
        </is>
      </c>
      <c r="C88" s="22" t="n">
        <v>1212</v>
      </c>
      <c r="H88" s="2" t="inlineStr">
        <is>
          <t>[FILED]</t>
        </is>
      </c>
    </row>
    <row r="89">
      <c r="B89" s="5" t="inlineStr">
        <is>
          <t>ACC 31-Dec-2021: investments</t>
        </is>
      </c>
      <c r="C89" s="22" t="n">
        <v>193</v>
      </c>
      <c r="H89" s="2" t="inlineStr">
        <is>
          <t>[FILED]</t>
        </is>
      </c>
    </row>
    <row r="90">
      <c r="B90" s="5" t="inlineStr">
        <is>
          <t>ACC 31-Dec-2021: inventories</t>
        </is>
      </c>
      <c r="C90" s="22" t="n">
        <v>1273</v>
      </c>
      <c r="H90" s="2" t="inlineStr">
        <is>
          <t>[FILED]</t>
        </is>
      </c>
    </row>
    <row r="91">
      <c r="B91" s="5" t="inlineStr">
        <is>
          <t>ACC 31-Dec-2021: trade receivables</t>
        </is>
      </c>
      <c r="C91" s="22" t="n">
        <v>462</v>
      </c>
      <c r="H91" s="2" t="inlineStr">
        <is>
          <t>[FILED]</t>
        </is>
      </c>
    </row>
    <row r="92">
      <c r="B92" s="5" t="inlineStr">
        <is>
          <t>ACC 31-Dec-2021: cash</t>
        </is>
      </c>
      <c r="C92" s="22" t="n">
        <v>7403</v>
      </c>
      <c r="H92" s="2" t="inlineStr">
        <is>
          <t>[FILED]</t>
        </is>
      </c>
    </row>
    <row r="93">
      <c r="B93" s="5" t="inlineStr">
        <is>
          <t>ACC 31-Dec-2021: other assets</t>
        </is>
      </c>
      <c r="C93" s="22" t="n">
        <v>3653</v>
      </c>
      <c r="H93" s="2" t="inlineStr">
        <is>
          <t>[FILED]</t>
        </is>
      </c>
    </row>
    <row r="94">
      <c r="B94" s="5" t="inlineStr">
        <is>
          <t>ACC dividend per share paid in CY2021 (₹)</t>
        </is>
      </c>
      <c r="C94" s="15" t="n">
        <v>14</v>
      </c>
      <c r="H94" s="2" t="inlineStr">
        <is>
          <t>[DERIVED] 19% payout on CY2020 NI; removed from Ambuja's income as intra-group</t>
        </is>
      </c>
    </row>
    <row r="95">
      <c r="B95" s="5" t="inlineStr">
        <is>
          <t>Ambuja EBITDA CY2021</t>
        </is>
      </c>
      <c r="C95" s="22" t="n">
        <v>3215</v>
      </c>
      <c r="H95" s="2" t="inlineStr">
        <is>
          <t>[FILED]</t>
        </is>
      </c>
    </row>
    <row r="96">
      <c r="B96" s="5" t="inlineStr">
        <is>
          <t>ACC EBITDA CY2021</t>
        </is>
      </c>
      <c r="C96" s="22" t="n">
        <v>3000</v>
      </c>
      <c r="H96" s="2" t="inlineStr">
        <is>
          <t>[FILED]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70" customWidth="1" min="8" max="8"/>
  </cols>
  <sheetData>
    <row r="1">
      <c r="B1" s="1" t="inlineStr">
        <is>
          <t>Deal, sources &amp; uses, ownership</t>
        </is>
      </c>
    </row>
    <row r="3">
      <c r="B3" s="3" t="inlineStr">
        <is>
          <t>Shares acquired (crore) and consideration</t>
        </is>
      </c>
      <c r="C3" s="4" t="n"/>
      <c r="D3" s="4" t="n"/>
      <c r="E3" s="4" t="n"/>
      <c r="F3" s="4" t="n"/>
      <c r="G3" s="4" t="n"/>
      <c r="H3" s="4" t="n"/>
    </row>
    <row r="4">
      <c r="B4" s="5" t="inlineStr">
        <is>
          <t>Ambuja shares bought from Holcim</t>
        </is>
      </c>
      <c r="C4" s="23">
        <f>'Inputs'!$C$6*'Inputs'!$C$7</f>
        <v>125.311216</v>
      </c>
    </row>
    <row r="5">
      <c r="B5" s="5" t="inlineStr">
        <is>
          <t>ACC shares bought from Holcim (direct)</t>
        </is>
      </c>
      <c r="C5" s="23">
        <f>'Inputs'!$C$13*'Inputs'!$C$14</f>
        <v>0.8413440000000001</v>
      </c>
    </row>
    <row r="6">
      <c r="B6" s="5" t="inlineStr">
        <is>
          <t>Holcim Ambuja stake</t>
        </is>
      </c>
      <c r="C6" s="24">
        <f>$C$4*'Inputs'!$C$9</f>
        <v>48244.81816</v>
      </c>
    </row>
    <row r="7">
      <c r="B7" s="5" t="inlineStr">
        <is>
          <t>Holcim direct ACC stake</t>
        </is>
      </c>
      <c r="C7" s="24">
        <f>$C$5*'Inputs'!$C$16</f>
        <v>1935.0912000000003</v>
      </c>
    </row>
    <row r="8">
      <c r="B8" s="5" t="inlineStr">
        <is>
          <t>Ambuja open offer (shares tendered)</t>
        </is>
      </c>
      <c r="C8" s="24">
        <f>'Inputs'!$C$8*'Inputs'!$C$9</f>
        <v>27.9895</v>
      </c>
    </row>
    <row r="9">
      <c r="B9" s="5" t="inlineStr">
        <is>
          <t>ACC open offer (shares tendered)</t>
        </is>
      </c>
      <c r="C9" s="24">
        <f>'Inputs'!$C$15*'Inputs'!$C$16</f>
        <v>934.0300000000001</v>
      </c>
    </row>
    <row r="10">
      <c r="B10" s="6" t="inlineStr">
        <is>
          <t>Total consideration</t>
        </is>
      </c>
      <c r="C10" s="25">
        <f>$C$6+$C$7+$C$8+$C$9</f>
        <v>51141.92886000001</v>
      </c>
    </row>
    <row r="11">
      <c r="B11" s="5" t="inlineStr">
        <is>
          <t>Total consideration (US$ bn)</t>
        </is>
      </c>
      <c r="C11" s="26">
        <f>$C$10/'Inputs'!$C$5/100</f>
        <v>6.404750013775831</v>
      </c>
    </row>
    <row r="12">
      <c r="B12" s="5" t="inlineStr">
        <is>
          <t>Transaction costs</t>
        </is>
      </c>
      <c r="C12" s="24">
        <f>$C$10*'Inputs'!$C$23</f>
        <v>511.4192886000001</v>
      </c>
    </row>
    <row r="13">
      <c r="B13" s="6" t="inlineStr">
        <is>
          <t>Total uses</t>
        </is>
      </c>
      <c r="C13" s="25">
        <f>$C$10+$C$12</f>
        <v>51653.34814860001</v>
      </c>
    </row>
    <row r="15">
      <c r="B15" s="3" t="inlineStr">
        <is>
          <t>Sources (holdco)</t>
        </is>
      </c>
      <c r="C15" s="4" t="n"/>
      <c r="D15" s="4" t="n"/>
      <c r="E15" s="4" t="n"/>
      <c r="F15" s="4" t="n"/>
      <c r="G15" s="4" t="n"/>
      <c r="H15" s="4" t="n"/>
    </row>
    <row r="16">
      <c r="B16" s="5" t="inlineStr">
        <is>
          <t>Acquisition debt (INR)</t>
        </is>
      </c>
      <c r="C16" s="24">
        <f>'Inputs'!$C$26*'Inputs'!$C$5*100</f>
        <v>35932.5</v>
      </c>
    </row>
    <row r="17">
      <c r="B17" s="5" t="inlineStr">
        <is>
          <t xml:space="preserve">  of which bridge</t>
        </is>
      </c>
      <c r="C17" s="24">
        <f>'Inputs'!$C$27*'Inputs'!$C$5*100</f>
        <v>27947.499999999996</v>
      </c>
    </row>
    <row r="18">
      <c r="B18" s="5" t="inlineStr">
        <is>
          <t xml:space="preserve">  of which term loan</t>
        </is>
      </c>
      <c r="C18" s="24">
        <f>$C$16-$C$17</f>
        <v>7985.000000000004</v>
      </c>
    </row>
    <row r="19">
      <c r="B19" s="5" t="inlineStr">
        <is>
          <t>Sponsor equity (balancing item)</t>
        </is>
      </c>
      <c r="C19" s="24">
        <f>$C$13-$C$16</f>
        <v>15720.84814860001</v>
      </c>
    </row>
    <row r="20">
      <c r="B20" s="6" t="inlineStr">
        <is>
          <t>Total sources</t>
        </is>
      </c>
      <c r="C20" s="25">
        <f>$C$16+$C$19</f>
        <v>51653.34814860001</v>
      </c>
    </row>
    <row r="21">
      <c r="B21" s="2" t="inlineStr">
        <is>
          <t>Target cash cannot fund the purchase: Companies Act s.67 and ~37% minority ownership of Ambuja.</t>
        </is>
      </c>
    </row>
    <row r="23">
      <c r="B23" s="3" t="inlineStr">
        <is>
          <t>Ownership after the deal</t>
        </is>
      </c>
      <c r="C23" s="4" t="n"/>
      <c r="D23" s="4" t="n"/>
      <c r="E23" s="4" t="n"/>
      <c r="F23" s="4" t="n"/>
      <c r="G23" s="4" t="n"/>
      <c r="H23" s="4" t="n"/>
    </row>
    <row r="24">
      <c r="B24" s="5" t="inlineStr">
        <is>
          <t>Adani stake in Ambuja</t>
        </is>
      </c>
      <c r="C24" s="27">
        <f>($C$4+'Inputs'!$C$8)/'Inputs'!$C$6</f>
        <v>0.6314661361804996</v>
      </c>
    </row>
    <row r="25">
      <c r="B25" s="5" t="inlineStr">
        <is>
          <t>Adani direct stake in ACC</t>
        </is>
      </c>
      <c r="C25" s="27">
        <f>($C$5+'Inputs'!$C$15)/'Inputs'!$C$13</f>
        <v>0.0664240681576145</v>
      </c>
    </row>
    <row r="26">
      <c r="B26" s="5" t="inlineStr">
        <is>
          <t>Adani-controlled stake in ACC (direct + via Ambuja)</t>
        </is>
      </c>
      <c r="C26" s="27">
        <f>$C$25+'Inputs'!$C$12</f>
        <v>0.5669240681576144</v>
      </c>
    </row>
    <row r="27">
      <c r="B27" s="5" t="inlineStr">
        <is>
          <t>Adani look-through economic stake in ACC</t>
        </is>
      </c>
      <c r="C27" s="27">
        <f>$C$24*'Inputs'!$C$12+$C$25</f>
        <v>0.38247286931595453</v>
      </c>
    </row>
    <row r="29">
      <c r="B29" s="3" t="inlineStr">
        <is>
          <t>Premium</t>
        </is>
      </c>
      <c r="C29" s="4" t="n"/>
      <c r="D29" s="4" t="n"/>
      <c r="E29" s="4" t="n"/>
      <c r="F29" s="4" t="n"/>
      <c r="G29" s="4" t="n"/>
      <c r="H29" s="4" t="n"/>
    </row>
    <row r="30">
      <c r="B30" s="5" t="inlineStr">
        <is>
          <t>Ambuja premium to undisturbed close</t>
        </is>
      </c>
      <c r="C30" s="28">
        <f>'Inputs'!$C$9/'Inputs'!$C$10-1</f>
        <v>0.07212475633528248</v>
      </c>
    </row>
    <row r="31">
      <c r="B31" s="5" t="inlineStr">
        <is>
          <t>ACC premium to undisturbed close</t>
        </is>
      </c>
      <c r="C31" s="28">
        <f>'Inputs'!$C$16/'Inputs'!$C$17-1</f>
        <v>0.08834524203851779</v>
      </c>
    </row>
    <row r="32">
      <c r="B32" s="5" t="inlineStr">
        <is>
          <t>Premium paid over undisturbed value</t>
        </is>
      </c>
      <c r="C32" s="24">
        <f>($C$4+'Inputs'!$C$8)*('Inputs'!$C$9-'Inputs'!$C$10)+($C$5+'Inputs'!$C$15)*('Inputs'!$C$16-'Inputs'!$C$17)</f>
        <v>3480.341219199997</v>
      </c>
    </row>
    <row r="33">
      <c r="B33" s="5" t="inlineStr">
        <is>
          <t>Market value of stakes at completion-day close</t>
        </is>
      </c>
      <c r="C33" s="24">
        <f>($C$4+'Inputs'!$C$8)*'Inputs'!$C$11+($C$5+'Inputs'!$C$15)*'Inputs'!$C$18</f>
        <v>68043.5694032</v>
      </c>
    </row>
    <row r="35">
      <c r="B35" s="3" t="inlineStr">
        <is>
          <t>Cost of capital</t>
        </is>
      </c>
      <c r="C35" s="4" t="n"/>
      <c r="D35" s="4" t="n"/>
      <c r="E35" s="4" t="n"/>
      <c r="F35" s="4" t="n"/>
      <c r="G35" s="4" t="n"/>
      <c r="H35" s="4" t="n"/>
    </row>
    <row r="36">
      <c r="B36" s="5" t="inlineStr">
        <is>
          <t>Unlevered cost of capital (rf + βa × ERP)</t>
        </is>
      </c>
      <c r="C36" s="27">
        <f>'Inputs'!$C$42+'Inputs'!$C$44*'Inputs'!$C$43</f>
        <v>0.12775</v>
      </c>
    </row>
    <row r="37">
      <c r="B37" s="5" t="inlineStr">
        <is>
          <t>Holdco debt / equity at cost</t>
        </is>
      </c>
      <c r="C37" s="29">
        <f>$C$16/($C$10-$C$16)</f>
        <v>2.3625147486307374</v>
      </c>
    </row>
    <row r="38">
      <c r="B38" s="5" t="inlineStr">
        <is>
          <t>Relevered beta (Hamada; no shield unless deductible)</t>
        </is>
      </c>
      <c r="C38" s="26">
        <f>'Inputs'!$C$44*(1+(1-'Inputs'!$C$40*'Inputs'!$C$31)*$C$37)</f>
        <v>2.8581375363361268</v>
      </c>
    </row>
    <row r="39">
      <c r="B39" s="5" t="inlineStr">
        <is>
          <t>Levered cost of equity on sponsor equity</t>
        </is>
      </c>
      <c r="C39" s="27">
        <f>'Inputs'!$C$42+$C$38*'Inputs'!$C$43</f>
        <v>0.25827893986184824</v>
      </c>
    </row>
    <row r="41">
      <c r="B41" s="3" t="inlineStr">
        <is>
          <t>Valuation at offer prices</t>
        </is>
      </c>
      <c r="C41" s="4" t="n"/>
      <c r="D41" s="4" t="n"/>
      <c r="E41" s="4" t="n"/>
      <c r="F41" s="4" t="n"/>
      <c r="G41" s="4" t="n"/>
      <c r="H41" s="4" t="n"/>
    </row>
    <row r="42">
      <c r="B42" s="5" t="inlineStr">
        <is>
          <t>100% equity value (Ambuja + ACC minority 49.95%)</t>
        </is>
      </c>
      <c r="C42" s="24">
        <f>'Inputs'!$C$6*'Inputs'!$C$9+(1-'Inputs'!$C$12)*'Inputs'!$C$13*'Inputs'!$C$16</f>
        <v>98021.00300000001</v>
      </c>
    </row>
    <row r="43">
      <c r="B43" s="5" t="inlineStr">
        <is>
          <t>Net debt 31-Dec-2021 (net cash shown negative)</t>
        </is>
      </c>
      <c r="C43" s="24">
        <f>'Inputs'!$C$70+'Inputs'!$C$85-'Inputs'!$C$77-'Inputs'!$C$92</f>
        <v>-11095.0</v>
      </c>
    </row>
    <row r="44">
      <c r="B44" s="6" t="inlineStr">
        <is>
          <t>Enterprise value</t>
        </is>
      </c>
      <c r="C44" s="25">
        <f>$C$42+$C$43</f>
        <v>86926.00300000001</v>
      </c>
    </row>
    <row r="45">
      <c r="B45" s="5" t="inlineStr">
        <is>
          <t>EV / EBITDA CY2021</t>
        </is>
      </c>
      <c r="C45" s="30">
        <f>$C$44/('Inputs'!$C$95+'Inputs'!$C$96)</f>
        <v>13.986484794851169</v>
      </c>
    </row>
    <row r="46">
      <c r="B46" s="5" t="inlineStr">
        <is>
          <t>EV per tonne of capacity (₹)</t>
        </is>
      </c>
      <c r="C46" s="24">
        <f>$C$44*10/'Inputs'!$C$19</f>
        <v>12877.926370370373</v>
      </c>
    </row>
    <row r="47">
      <c r="B47" s="5" t="inlineStr">
        <is>
          <t>EV per tonne of capacity (US$)</t>
        </is>
      </c>
      <c r="C47" s="24">
        <f>$C$46/'Inputs'!$C$5</f>
        <v>161.27647301653568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70" customWidth="1" min="8" max="8"/>
  </cols>
  <sheetData>
    <row r="1">
      <c r="B1" s="1" t="inlineStr">
        <is>
          <t>Purchase price allocation and goodwill</t>
        </is>
      </c>
    </row>
    <row r="2">
      <c r="B2" s="2" t="inlineStr">
        <is>
          <t>Look-through method; NCI measured at its share of identifiable net assets (Ind AS 103 option).</t>
        </is>
      </c>
    </row>
    <row r="4">
      <c r="B4" s="3" t="inlineStr">
        <is>
          <t>AMBUJA — fair value of identifiable net assets</t>
        </is>
      </c>
      <c r="C4" s="4" t="n"/>
      <c r="D4" s="4" t="n"/>
      <c r="E4" s="4" t="n"/>
      <c r="F4" s="4" t="n"/>
      <c r="G4" s="4" t="n"/>
      <c r="H4" s="4" t="n"/>
    </row>
    <row r="5">
      <c r="B5" s="5" t="inlineStr">
        <is>
          <t>Gross fair-value step-ups</t>
        </is>
      </c>
      <c r="C5" s="24">
        <f>'Inputs'!$C$48+'Inputs'!$C$49+'Inputs'!$C$50+'Inputs'!$C$51+'Inputs'!$C$52+'Inputs'!$C$53</f>
        <v>12530.0</v>
      </c>
    </row>
    <row r="6">
      <c r="B6" s="5" t="inlineStr">
        <is>
          <t>Deferred tax liability on step-ups</t>
        </is>
      </c>
      <c r="C6" s="24">
        <f>$C$5*'Inputs'!$C$40</f>
        <v>3153.801</v>
      </c>
    </row>
    <row r="7">
      <c r="B7" s="5" t="inlineStr">
        <is>
          <t>Book equity 31-Dec-2021</t>
        </is>
      </c>
      <c r="C7" s="24">
        <f>'Inputs'!$C$68+'Inputs'!$C$69</f>
        <v>22205.0</v>
      </c>
    </row>
    <row r="8">
      <c r="B8" s="5" t="inlineStr">
        <is>
          <t>Less: investments eliminated (ACC stake valued separately)</t>
        </is>
      </c>
      <c r="C8" s="24">
        <f>'Inputs'!$C$74</f>
        <v>11774.0</v>
      </c>
    </row>
    <row r="9">
      <c r="B9" s="6" t="inlineStr">
        <is>
          <t>FV of identifiable net assets (Ambuja ex-ACC)</t>
        </is>
      </c>
      <c r="C9" s="25">
        <f>$C$7-$C$8+$C$5-$C$6</f>
        <v>19807.199</v>
      </c>
    </row>
    <row r="10">
      <c r="B10" s="5" t="inlineStr">
        <is>
          <t>Annual amortisation of step-ups</t>
        </is>
      </c>
      <c r="C10" s="24">
        <f>'Inputs'!$C$48/'Inputs'!$C$60+('Inputs'!$C$49+'Inputs'!$C$51+'Inputs'!$C$52)/'Inputs'!$C$61</f>
        <v>636.6666666666666</v>
      </c>
    </row>
    <row r="12">
      <c r="B12" s="3" t="inlineStr">
        <is>
          <t>ACC — fair value of identifiable net assets</t>
        </is>
      </c>
      <c r="C12" s="4" t="n"/>
      <c r="D12" s="4" t="n"/>
      <c r="E12" s="4" t="n"/>
      <c r="F12" s="4" t="n"/>
      <c r="G12" s="4" t="n"/>
      <c r="H12" s="4" t="n"/>
    </row>
    <row r="13">
      <c r="B13" s="5" t="inlineStr">
        <is>
          <t>Gross fair-value step-ups</t>
        </is>
      </c>
      <c r="C13" s="24">
        <f>'Inputs'!$C$54+'Inputs'!$C$55+'Inputs'!$C$56+'Inputs'!$C$57+'Inputs'!$C$58+'Inputs'!$C$59</f>
        <v>10390.0</v>
      </c>
    </row>
    <row r="14">
      <c r="B14" s="5" t="inlineStr">
        <is>
          <t>Deferred tax liability on step-ups</t>
        </is>
      </c>
      <c r="C14" s="24">
        <f>$C$13*'Inputs'!$C$40</f>
        <v>2615.163</v>
      </c>
    </row>
    <row r="15">
      <c r="B15" s="5" t="inlineStr">
        <is>
          <t>Book equity 31-Dec-2021</t>
        </is>
      </c>
      <c r="C15" s="24">
        <f>'Inputs'!$C$83+'Inputs'!$C$84</f>
        <v>14228.0</v>
      </c>
    </row>
    <row r="16">
      <c r="B16" s="6" t="inlineStr">
        <is>
          <t>FV of identifiable net assets (ACC)</t>
        </is>
      </c>
      <c r="C16" s="25">
        <f>$C$15+$C$13-$C$14</f>
        <v>22002.837</v>
      </c>
    </row>
    <row r="17">
      <c r="B17" s="5" t="inlineStr">
        <is>
          <t>Annual amortisation of step-ups</t>
        </is>
      </c>
      <c r="C17" s="24">
        <f>'Inputs'!$C$54/'Inputs'!$C$60+('Inputs'!$C$55+'Inputs'!$C$57+'Inputs'!$C$58)/'Inputs'!$C$61</f>
        <v>531.3333333333334</v>
      </c>
    </row>
    <row r="19">
      <c r="B19" s="3" t="inlineStr">
        <is>
          <t>Goodwill (look-through)</t>
        </is>
      </c>
      <c r="C19" s="4" t="n"/>
      <c r="D19" s="4" t="n"/>
      <c r="E19" s="4" t="n"/>
      <c r="F19" s="4" t="n"/>
      <c r="G19" s="4" t="n"/>
      <c r="H19" s="4" t="n"/>
    </row>
    <row r="20">
      <c r="B20" s="5" t="inlineStr">
        <is>
          <t>ACC 100% equity at offer price</t>
        </is>
      </c>
      <c r="C20" s="24">
        <f>'Inputs'!$C$13*'Inputs'!$C$16</f>
        <v>43194.0</v>
      </c>
    </row>
    <row r="21">
      <c r="B21" s="5" t="inlineStr">
        <is>
          <t>ACC value embedded in Ambuja shares bought</t>
        </is>
      </c>
      <c r="C21" s="24">
        <f>'Deal &amp; Financing'!$C$24*'Inputs'!$C$12*$C$20</f>
        <v>13651.41191723334</v>
      </c>
    </row>
    <row r="22">
      <c r="B22" s="5" t="inlineStr">
        <is>
          <t>Consideration attributable to Ambuja ex-ACC</t>
        </is>
      </c>
      <c r="C22" s="24">
        <f>'Deal &amp; Financing'!$C$6+'Deal &amp; Financing'!$C$8-$C$21</f>
        <v>34621.39574276667</v>
      </c>
    </row>
    <row r="23">
      <c r="B23" s="5" t="inlineStr">
        <is>
          <t>Consideration attributable to ACC (look-through)</t>
        </is>
      </c>
      <c r="C23" s="24">
        <f>$C$21+'Deal &amp; Financing'!$C$7+'Deal &amp; Financing'!$C$9</f>
        <v>16520.53311723334</v>
      </c>
    </row>
    <row r="24">
      <c r="B24" s="5" t="inlineStr">
        <is>
          <t>Adani share of Ambuja FV net assets</t>
        </is>
      </c>
      <c r="C24" s="24">
        <f>'Deal &amp; Financing'!$C$24*$C$9</f>
        <v>12507.575421088257</v>
      </c>
    </row>
    <row r="25">
      <c r="B25" s="5" t="inlineStr">
        <is>
          <t>Adani share of ACC FV net assets</t>
        </is>
      </c>
      <c r="C25" s="24">
        <f>'Deal &amp; Financing'!$C$27*$C$16</f>
        <v>8415.48820048125</v>
      </c>
    </row>
    <row r="26">
      <c r="B26" s="5" t="inlineStr">
        <is>
          <t>Goodwill — Ambuja</t>
        </is>
      </c>
      <c r="C26" s="24">
        <f>$C$22-$C$24</f>
        <v>22113.82032167841</v>
      </c>
    </row>
    <row r="27">
      <c r="B27" s="5" t="inlineStr">
        <is>
          <t>Goodwill — ACC</t>
        </is>
      </c>
      <c r="C27" s="24">
        <f>$C$23-$C$25</f>
        <v>8105.044916752089</v>
      </c>
    </row>
    <row r="28">
      <c r="B28" s="6" t="inlineStr">
        <is>
          <t>Total goodwill</t>
        </is>
      </c>
      <c r="C28" s="25">
        <f>$C$26+$C$27</f>
        <v>30218.8652384305</v>
      </c>
    </row>
    <row r="29">
      <c r="B29" s="5" t="inlineStr">
        <is>
          <t>Goodwill as % of consideration</t>
        </is>
      </c>
      <c r="C29" s="28">
        <f>$C$28/'Deal &amp; Financing'!$C$10</f>
        <v>0.590882391650773</v>
      </c>
    </row>
    <row r="30">
      <c r="B30" s="5" t="inlineStr">
        <is>
          <t>New intangibles recognised (incl. brands)</t>
        </is>
      </c>
      <c r="C30" s="24">
        <f>'Inputs'!$C$49+'Inputs'!$C$51+'Inputs'!$C$52+'Inputs'!$C$50+'Inputs'!$C$55+'Inputs'!$C$57+'Inputs'!$C$58+'Inputs'!$C$56</f>
        <v>16520.0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70" customWidth="1" min="8" max="8"/>
  </cols>
  <sheetData>
    <row r="1">
      <c r="B1" s="1" t="inlineStr">
        <is>
          <t>Standalone projections</t>
        </is>
      </c>
    </row>
    <row r="2">
      <c r="B2" s="2" t="inlineStr">
        <is>
          <t>Ambuja excludes dividends from ACC (intra-group). Cash, interest expense and D&amp;A % of revenue held at CY2021 levels.</t>
        </is>
      </c>
    </row>
    <row r="4">
      <c r="B4" s="3" t="inlineStr">
        <is>
          <t>Treasury yield (derived)</t>
        </is>
      </c>
      <c r="C4" s="4" t="n"/>
      <c r="D4" s="4" t="n"/>
      <c r="E4" s="4" t="n"/>
      <c r="F4" s="4" t="n"/>
      <c r="G4" s="4" t="n"/>
      <c r="H4" s="4" t="n"/>
    </row>
    <row r="5">
      <c r="B5" s="5" t="inlineStr">
        <is>
          <t>ACC dividend received by Ambuja in CY2021</t>
        </is>
      </c>
      <c r="C5" s="24">
        <f>'Inputs'!$C$94*'Inputs'!$C$13*'Inputs'!$C$12</f>
        <v>131.59145999999998</v>
      </c>
    </row>
    <row r="6">
      <c r="B6" s="5" t="inlineStr">
        <is>
          <t>Treasury yield on cash</t>
        </is>
      </c>
      <c r="C6" s="27">
        <f>('Inputs'!$C$67-$C$5+'Inputs'!$C$82)/('Inputs'!$C$77+'Inputs'!$C$92)</f>
        <v>0.03045355513307985</v>
      </c>
    </row>
    <row r="8">
      <c r="B8" s="3" t="inlineStr">
        <is>
          <t>AMBUJA standalone</t>
        </is>
      </c>
      <c r="C8" s="21" t="inlineStr">
        <is>
          <t>CY2021A</t>
        </is>
      </c>
      <c r="D8" s="21" t="inlineStr">
        <is>
          <t>FY2023E</t>
        </is>
      </c>
      <c r="E8" s="21" t="inlineStr">
        <is>
          <t>FY2024E</t>
        </is>
      </c>
      <c r="F8" s="21" t="inlineStr">
        <is>
          <t>FY2025E</t>
        </is>
      </c>
      <c r="G8" s="4" t="n"/>
      <c r="H8" s="4" t="n"/>
    </row>
    <row r="9">
      <c r="B9" s="5" t="inlineStr">
        <is>
          <t>Revenue</t>
        </is>
      </c>
      <c r="C9" s="24">
        <f>'Inputs'!$C$64</f>
        <v>13979.0</v>
      </c>
      <c r="D9" s="24">
        <f>C9*(1+'Inputs'!$D$36)</f>
        <v>15656.480000000001</v>
      </c>
      <c r="E9" s="24">
        <f>D9*(1+'Inputs'!$E$36)</f>
        <v>17065.563200000004</v>
      </c>
      <c r="F9" s="24">
        <f>E9*(1+'Inputs'!$F$36)</f>
        <v>18430.808256000004</v>
      </c>
    </row>
    <row r="10">
      <c r="B10" s="5" t="inlineStr">
        <is>
          <t>EBITDA</t>
        </is>
      </c>
      <c r="D10" s="24">
        <f>D9*'Inputs'!$D$38</f>
        <v>2818.1664</v>
      </c>
      <c r="E10" s="24">
        <f>E9*'Inputs'!$E$38</f>
        <v>3413.112640000001</v>
      </c>
      <c r="F10" s="24">
        <f>F9*'Inputs'!$F$38</f>
        <v>3870.4697337600005</v>
      </c>
    </row>
    <row r="11">
      <c r="B11" s="5" t="inlineStr">
        <is>
          <t>Depreciation &amp; amortisation</t>
        </is>
      </c>
      <c r="D11" s="24">
        <f>D9*'Inputs'!$C$65/'Inputs'!$C$64</f>
        <v>618.24</v>
      </c>
      <c r="E11" s="24">
        <f>E9*'Inputs'!$C$65/'Inputs'!$C$64</f>
        <v>673.8816000000002</v>
      </c>
      <c r="F11" s="24">
        <f>F9*'Inputs'!$C$65/'Inputs'!$C$64</f>
        <v>727.7921280000002</v>
      </c>
    </row>
    <row r="12">
      <c r="B12" s="5" t="inlineStr">
        <is>
          <t>Treasury income</t>
        </is>
      </c>
      <c r="D12" s="24">
        <f>$C$6*'Inputs'!$C$77</f>
        <v>126.96087134980989</v>
      </c>
      <c r="E12" s="24">
        <f>$C$6*'Inputs'!$C$77</f>
        <v>126.96087134980989</v>
      </c>
      <c r="F12" s="24">
        <f>$C$6*'Inputs'!$C$77</f>
        <v>126.96087134980989</v>
      </c>
    </row>
    <row r="13">
      <c r="B13" s="5" t="inlineStr">
        <is>
          <t>Interest expense</t>
        </is>
      </c>
      <c r="D13" s="24">
        <f>'Inputs'!$C$66</f>
        <v>91.0</v>
      </c>
      <c r="E13" s="24">
        <f>'Inputs'!$C$66</f>
        <v>91.0</v>
      </c>
      <c r="F13" s="24">
        <f>'Inputs'!$C$66</f>
        <v>91.0</v>
      </c>
    </row>
    <row r="14">
      <c r="B14" s="5" t="inlineStr">
        <is>
          <t>Profit before tax</t>
        </is>
      </c>
      <c r="D14" s="24">
        <f>D10-D11+D12-D13</f>
        <v>2235.8872713498104</v>
      </c>
      <c r="E14" s="24">
        <f>E10-E11+E12-E13</f>
        <v>2775.191911349811</v>
      </c>
      <c r="F14" s="24">
        <f>F10-F11+F12-F13</f>
        <v>3178.6384771098105</v>
      </c>
    </row>
    <row r="15">
      <c r="B15" s="6" t="inlineStr">
        <is>
          <t>Net income</t>
        </is>
      </c>
      <c r="D15" s="25">
        <f>D14*(1-'Inputs'!$C$40)</f>
        <v>1673.114445151063</v>
      </c>
      <c r="E15" s="25">
        <f>E14*(1-'Inputs'!$C$40)</f>
        <v>2076.6761072630634</v>
      </c>
      <c r="F15" s="25">
        <f>F14*(1-'Inputs'!$C$40)</f>
        <v>2378.575172421271</v>
      </c>
    </row>
    <row r="17">
      <c r="B17" s="3" t="inlineStr">
        <is>
          <t>ACC standalone</t>
        </is>
      </c>
      <c r="C17" s="21" t="inlineStr">
        <is>
          <t>CY2021A</t>
        </is>
      </c>
      <c r="D17" s="21" t="inlineStr">
        <is>
          <t>FY2023E</t>
        </is>
      </c>
      <c r="E17" s="21" t="inlineStr">
        <is>
          <t>FY2024E</t>
        </is>
      </c>
      <c r="F17" s="21" t="inlineStr">
        <is>
          <t>FY2025E</t>
        </is>
      </c>
      <c r="G17" s="4" t="n"/>
      <c r="H17" s="4" t="n"/>
    </row>
    <row r="18">
      <c r="B18" s="5" t="inlineStr">
        <is>
          <t>Revenue</t>
        </is>
      </c>
      <c r="C18" s="24">
        <f>'Inputs'!$C$79</f>
        <v>16151.0</v>
      </c>
      <c r="D18" s="24">
        <f>C18*(1+'Inputs'!$D$37)</f>
        <v>18089.120000000003</v>
      </c>
      <c r="E18" s="24">
        <f>D18*(1+'Inputs'!$E$37)</f>
        <v>19717.140800000005</v>
      </c>
      <c r="F18" s="24">
        <f>E18*(1+'Inputs'!$F$37)</f>
        <v>21294.512064000006</v>
      </c>
    </row>
    <row r="19">
      <c r="B19" s="5" t="inlineStr">
        <is>
          <t>EBITDA</t>
        </is>
      </c>
      <c r="D19" s="24">
        <f>D18*'Inputs'!$D$39</f>
        <v>2170.6944000000003</v>
      </c>
      <c r="E19" s="24">
        <f>E18*'Inputs'!$E$39</f>
        <v>2760.399712000001</v>
      </c>
      <c r="F19" s="24">
        <f>F18*'Inputs'!$F$39</f>
        <v>3194.176809600001</v>
      </c>
    </row>
    <row r="20">
      <c r="B20" s="5" t="inlineStr">
        <is>
          <t>Depreciation &amp; amortisation</t>
        </is>
      </c>
      <c r="D20" s="24">
        <f>D18*'Inputs'!$C$80/'Inputs'!$C$79</f>
        <v>668.6400000000001</v>
      </c>
      <c r="E20" s="24">
        <f>E18*'Inputs'!$C$80/'Inputs'!$C$79</f>
        <v>728.8176000000002</v>
      </c>
      <c r="F20" s="24">
        <f>F18*'Inputs'!$C$80/'Inputs'!$C$79</f>
        <v>787.1230080000001</v>
      </c>
    </row>
    <row r="21">
      <c r="B21" s="5" t="inlineStr">
        <is>
          <t>Treasury income</t>
        </is>
      </c>
      <c r="D21" s="24">
        <f>$C$6*'Inputs'!$C$92</f>
        <v>225.44766865019014</v>
      </c>
      <c r="E21" s="24">
        <f>$C$6*'Inputs'!$C$92</f>
        <v>225.44766865019014</v>
      </c>
      <c r="F21" s="24">
        <f>$C$6*'Inputs'!$C$92</f>
        <v>225.44766865019014</v>
      </c>
    </row>
    <row r="22">
      <c r="B22" s="5" t="inlineStr">
        <is>
          <t>Interest expense</t>
        </is>
      </c>
      <c r="D22" s="24">
        <f>'Inputs'!$C$81</f>
        <v>55.0</v>
      </c>
      <c r="E22" s="24">
        <f>'Inputs'!$C$81</f>
        <v>55.0</v>
      </c>
      <c r="F22" s="24">
        <f>'Inputs'!$C$81</f>
        <v>55.0</v>
      </c>
    </row>
    <row r="23">
      <c r="B23" s="5" t="inlineStr">
        <is>
          <t>Profit before tax</t>
        </is>
      </c>
      <c r="D23" s="24">
        <f>D19-D20+D21-D22</f>
        <v>1672.5020686501903</v>
      </c>
      <c r="E23" s="24">
        <f>E19-E20+E21-E22</f>
        <v>2202.029780650191</v>
      </c>
      <c r="F23" s="24">
        <f>F19-F20+F21-F22</f>
        <v>2577.5014702501912</v>
      </c>
    </row>
    <row r="24">
      <c r="B24" s="6" t="inlineStr">
        <is>
          <t>Net income</t>
        </is>
      </c>
      <c r="D24" s="25">
        <f>D23*(1-'Inputs'!$C$40)</f>
        <v>1251.5332979709374</v>
      </c>
      <c r="E24" s="25">
        <f>E23*(1-'Inputs'!$C$40)</f>
        <v>1647.7788848605378</v>
      </c>
      <c r="F24" s="25">
        <f>F23*(1-'Inputs'!$C$40)</f>
        <v>1928.744350188218</v>
      </c>
    </row>
    <row r="26">
      <c r="B26" s="3" t="inlineStr">
        <is>
          <t>Dividends</t>
        </is>
      </c>
      <c r="C26" s="21" t="inlineStr">
        <is>
          <t>CY2021A</t>
        </is>
      </c>
      <c r="D26" s="21" t="inlineStr">
        <is>
          <t>FY2023E</t>
        </is>
      </c>
      <c r="E26" s="21" t="inlineStr">
        <is>
          <t>FY2024E</t>
        </is>
      </c>
      <c r="F26" s="21" t="inlineStr">
        <is>
          <t>FY2025E</t>
        </is>
      </c>
      <c r="G26" s="4" t="n"/>
      <c r="H26" s="4" t="n"/>
    </row>
    <row r="27">
      <c r="B27" s="5" t="inlineStr">
        <is>
          <t>ACC dividends paid</t>
        </is>
      </c>
      <c r="D27" s="24">
        <f>'Inputs'!$C$41*D24</f>
        <v>250.3066595941875</v>
      </c>
      <c r="E27" s="24">
        <f>'Inputs'!$C$41*E24</f>
        <v>329.5557769721076</v>
      </c>
      <c r="F27" s="24">
        <f>'Inputs'!$C$41*F24</f>
        <v>385.74887003764366</v>
      </c>
    </row>
    <row r="28">
      <c r="B28" s="5" t="inlineStr">
        <is>
          <t xml:space="preserve">  of which to Ambuja</t>
        </is>
      </c>
      <c r="D28" s="24">
        <f>D27*'Inputs'!$C$12</f>
        <v>125.27848312689083</v>
      </c>
      <c r="E28" s="24">
        <f>E27*'Inputs'!$C$12</f>
        <v>164.94266637453984</v>
      </c>
      <c r="F28" s="24">
        <f>F27*'Inputs'!$C$12</f>
        <v>193.06730945384064</v>
      </c>
    </row>
    <row r="29">
      <c r="B29" s="5" t="inlineStr">
        <is>
          <t>Ambuja dividends paid (ACC dividends passed through, s.80M)</t>
        </is>
      </c>
      <c r="D29" s="24">
        <f>'Inputs'!$C$41*(D15+D28)</f>
        <v>359.6785856555908</v>
      </c>
      <c r="E29" s="24">
        <f>'Inputs'!$C$41*(E15+E28)</f>
        <v>448.3237547275207</v>
      </c>
      <c r="F29" s="24">
        <f>'Inputs'!$C$41*(F15+F28)</f>
        <v>514.3284963750224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H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70" customWidth="1" min="8" max="8"/>
  </cols>
  <sheetData>
    <row r="1">
      <c r="B1" s="1" t="inlineStr">
        <is>
          <t>Synergies</t>
        </is>
      </c>
    </row>
    <row r="2">
      <c r="B2" s="2" t="inlineStr">
        <is>
          <t>[ASSUMPTION] Model estimates, not company guidance. Edit run-rates and phasing here.</t>
        </is>
      </c>
    </row>
    <row r="4">
      <c r="B4" s="3" t="inlineStr">
        <is>
          <t>Phasing (% of run-rate)</t>
        </is>
      </c>
      <c r="C4" s="21" t="inlineStr">
        <is>
          <t>Run-rate</t>
        </is>
      </c>
      <c r="D4" s="21" t="inlineStr">
        <is>
          <t>FY2023E</t>
        </is>
      </c>
      <c r="E4" s="21" t="inlineStr">
        <is>
          <t>FY2024E</t>
        </is>
      </c>
      <c r="F4" s="21" t="inlineStr">
        <is>
          <t>FY2025E</t>
        </is>
      </c>
      <c r="G4" s="4" t="n"/>
      <c r="H4" s="4" t="n"/>
    </row>
    <row r="5">
      <c r="B5" s="5" t="inlineStr">
        <is>
          <t>Procurement (fly ash, gypsum, slag, coal)</t>
        </is>
      </c>
      <c r="C5" s="19" t="n">
        <v>850</v>
      </c>
      <c r="D5" s="19" t="n">
        <v>0.3</v>
      </c>
      <c r="E5" s="19" t="n">
        <v>0.7</v>
      </c>
      <c r="F5" s="19" t="n">
        <v>1</v>
      </c>
    </row>
    <row r="6">
      <c r="B6" s="5" t="inlineStr">
        <is>
          <t>Logistics &amp; freight (route rationalisation, ports)</t>
        </is>
      </c>
      <c r="C6" s="19" t="n">
        <v>620</v>
      </c>
      <c r="D6" s="19" t="n">
        <v>0.2</v>
      </c>
      <c r="E6" s="19" t="n">
        <v>0.6</v>
      </c>
      <c r="F6" s="19" t="n">
        <v>1</v>
      </c>
    </row>
    <row r="7">
      <c r="B7" s="5" t="inlineStr">
        <is>
          <t>SG&amp;A and shared services</t>
        </is>
      </c>
      <c r="C7" s="19" t="n">
        <v>480</v>
      </c>
      <c r="D7" s="19" t="n">
        <v>0.4</v>
      </c>
      <c r="E7" s="19" t="n">
        <v>0.8</v>
      </c>
      <c r="F7" s="19" t="n">
        <v>1</v>
      </c>
    </row>
    <row r="8">
      <c r="B8" s="5" t="inlineStr">
        <is>
          <t>Energy (fuel mix, WHRS, renewables)</t>
        </is>
      </c>
      <c r="C8" s="19" t="n">
        <v>380</v>
      </c>
      <c r="D8" s="19" t="n">
        <v>0.15</v>
      </c>
      <c r="E8" s="19" t="n">
        <v>0.5</v>
      </c>
      <c r="F8" s="19" t="n">
        <v>1</v>
      </c>
    </row>
    <row r="9">
      <c r="B9" s="5" t="inlineStr">
        <is>
          <t>Plant optimisation (clinker factor)</t>
        </is>
      </c>
      <c r="C9" s="19" t="n">
        <v>270</v>
      </c>
      <c r="D9" s="19" t="n">
        <v>0.1</v>
      </c>
      <c r="E9" s="19" t="n">
        <v>0.45</v>
      </c>
      <c r="F9" s="19" t="n">
        <v>1</v>
      </c>
    </row>
    <row r="10">
      <c r="B10" s="5" t="inlineStr">
        <is>
          <t>Revenue: cross-selling into new regions (EBITDA impact)</t>
        </is>
      </c>
      <c r="C10" s="19" t="n">
        <v>310</v>
      </c>
      <c r="D10" s="19" t="n">
        <v>0.1</v>
      </c>
      <c r="E10" s="19" t="n">
        <v>0.4</v>
      </c>
      <c r="F10" s="19" t="n">
        <v>1</v>
      </c>
    </row>
    <row r="11">
      <c r="B11" s="5" t="inlineStr">
        <is>
          <t>Revenue: pricing discipline (EBITDA impact)</t>
        </is>
      </c>
      <c r="C11" s="19" t="n">
        <v>190</v>
      </c>
      <c r="D11" s="19" t="n">
        <v>0.25</v>
      </c>
      <c r="E11" s="19" t="n">
        <v>0.65</v>
      </c>
      <c r="F11" s="19" t="n">
        <v>1</v>
      </c>
    </row>
    <row r="13">
      <c r="B13" s="3" t="inlineStr">
        <is>
          <t>Pre-tax synergies (EBITDA)</t>
        </is>
      </c>
      <c r="C13" s="21" t="inlineStr">
        <is>
          <t>Run-rate</t>
        </is>
      </c>
      <c r="D13" s="21" t="inlineStr">
        <is>
          <t>FY2023E</t>
        </is>
      </c>
      <c r="E13" s="21" t="inlineStr">
        <is>
          <t>FY2024E</t>
        </is>
      </c>
      <c r="F13" s="21" t="inlineStr">
        <is>
          <t>FY2025E</t>
        </is>
      </c>
      <c r="G13" s="4" t="n"/>
      <c r="H13" s="4" t="n"/>
    </row>
    <row r="14">
      <c r="B14" s="5" t="inlineStr">
        <is>
          <t>Procurement (fly ash, gypsum, slag, coal)</t>
        </is>
      </c>
      <c r="C14" s="24">
        <f>C5</f>
        <v>850.0</v>
      </c>
      <c r="D14" s="24">
        <f>C5*D5</f>
        <v>255.0</v>
      </c>
      <c r="E14" s="24">
        <f>C5*E5</f>
        <v>595.0</v>
      </c>
      <c r="F14" s="24">
        <f>C5*F5</f>
        <v>850.0</v>
      </c>
    </row>
    <row r="15">
      <c r="B15" s="5" t="inlineStr">
        <is>
          <t>Logistics &amp; freight (route rationalisation, ports)</t>
        </is>
      </c>
      <c r="C15" s="24">
        <f>C6</f>
        <v>620.0</v>
      </c>
      <c r="D15" s="24">
        <f>C6*D6</f>
        <v>124.0</v>
      </c>
      <c r="E15" s="24">
        <f>C6*E6</f>
        <v>372.0</v>
      </c>
      <c r="F15" s="24">
        <f>C6*F6</f>
        <v>620.0</v>
      </c>
    </row>
    <row r="16">
      <c r="B16" s="5" t="inlineStr">
        <is>
          <t>SG&amp;A and shared services</t>
        </is>
      </c>
      <c r="C16" s="24">
        <f>C7</f>
        <v>480.0</v>
      </c>
      <c r="D16" s="24">
        <f>C7*D7</f>
        <v>192.0</v>
      </c>
      <c r="E16" s="24">
        <f>C7*E7</f>
        <v>384.0</v>
      </c>
      <c r="F16" s="24">
        <f>C7*F7</f>
        <v>480.0</v>
      </c>
    </row>
    <row r="17">
      <c r="B17" s="5" t="inlineStr">
        <is>
          <t>Energy (fuel mix, WHRS, renewables)</t>
        </is>
      </c>
      <c r="C17" s="24">
        <f>C8</f>
        <v>380.0</v>
      </c>
      <c r="D17" s="24">
        <f>C8*D8</f>
        <v>57.0</v>
      </c>
      <c r="E17" s="24">
        <f>C8*E8</f>
        <v>190.0</v>
      </c>
      <c r="F17" s="24">
        <f>C8*F8</f>
        <v>380.0</v>
      </c>
    </row>
    <row r="18">
      <c r="B18" s="5" t="inlineStr">
        <is>
          <t>Plant optimisation (clinker factor)</t>
        </is>
      </c>
      <c r="C18" s="24">
        <f>C9</f>
        <v>270.0</v>
      </c>
      <c r="D18" s="24">
        <f>C9*D9</f>
        <v>27.0</v>
      </c>
      <c r="E18" s="24">
        <f>C9*E9</f>
        <v>121.5</v>
      </c>
      <c r="F18" s="24">
        <f>C9*F9</f>
        <v>270.0</v>
      </c>
    </row>
    <row r="19">
      <c r="B19" s="5" t="inlineStr">
        <is>
          <t>Revenue: cross-selling into new regions (EBITDA impact)</t>
        </is>
      </c>
      <c r="C19" s="24">
        <f>C10</f>
        <v>310.0</v>
      </c>
      <c r="D19" s="24">
        <f>C10*D10</f>
        <v>31.0</v>
      </c>
      <c r="E19" s="24">
        <f>C10*E10</f>
        <v>124.0</v>
      </c>
      <c r="F19" s="24">
        <f>C10*F10</f>
        <v>310.0</v>
      </c>
    </row>
    <row r="20">
      <c r="B20" s="5" t="inlineStr">
        <is>
          <t>Revenue: pricing discipline (EBITDA impact)</t>
        </is>
      </c>
      <c r="C20" s="24">
        <f>C11</f>
        <v>190.0</v>
      </c>
      <c r="D20" s="24">
        <f>C11*D11</f>
        <v>47.5</v>
      </c>
      <c r="E20" s="24">
        <f>C11*E11</f>
        <v>123.5</v>
      </c>
      <c r="F20" s="24">
        <f>C11*F11</f>
        <v>190.0</v>
      </c>
    </row>
    <row r="21">
      <c r="B21" s="6" t="inlineStr">
        <is>
          <t>Total synergies</t>
        </is>
      </c>
      <c r="C21" s="24">
        <f>C14+C15+C16+C17+C18+C19+C20</f>
        <v>3100.0</v>
      </c>
      <c r="D21" s="25">
        <f>D14+D15+D16+D17+D18+D19+D20</f>
        <v>733.5</v>
      </c>
      <c r="E21" s="25">
        <f>E14+E15+E16+E17+E18+E19+E20</f>
        <v>1910.0</v>
      </c>
      <c r="F21" s="25">
        <f>F14+F15+F16+F17+F18+F19+F20</f>
        <v>3100.0</v>
      </c>
    </row>
    <row r="22">
      <c r="B22" s="5" t="inlineStr">
        <is>
          <t>Costs to achieve phasing</t>
        </is>
      </c>
      <c r="C22" s="19" t="n">
        <v>2800</v>
      </c>
      <c r="D22" s="19" t="n">
        <v>0.6</v>
      </c>
      <c r="E22" s="19" t="n">
        <v>0.4</v>
      </c>
      <c r="F22" s="19" t="n">
        <v>0</v>
      </c>
    </row>
    <row r="23">
      <c r="B23" s="5" t="inlineStr">
        <is>
          <t>Costs to achieve (one-off, pre-tax)</t>
        </is>
      </c>
      <c r="D23" s="24">
        <f>C22*D22</f>
        <v>1680.0</v>
      </c>
      <c r="E23" s="24">
        <f>C22*E22</f>
        <v>1120.0</v>
      </c>
      <c r="F23" s="24">
        <f>C22*F22</f>
        <v>0.0</v>
      </c>
    </row>
    <row r="25">
      <c r="B25" s="3" t="inlineStr">
        <is>
          <t>NPV at the unlevered cost of capital</t>
        </is>
      </c>
      <c r="C25" s="21" t="inlineStr">
        <is>
          <t>Run-rate</t>
        </is>
      </c>
      <c r="D25" s="21" t="inlineStr">
        <is>
          <t>FY2023E</t>
        </is>
      </c>
      <c r="E25" s="21" t="inlineStr">
        <is>
          <t>FY2024E</t>
        </is>
      </c>
      <c r="F25" s="21" t="inlineStr">
        <is>
          <t>FY2025E</t>
        </is>
      </c>
      <c r="G25" s="4" t="n"/>
      <c r="H25" s="4" t="n"/>
    </row>
    <row r="26">
      <c r="B26" s="5" t="inlineStr">
        <is>
          <t>Discount factor</t>
        </is>
      </c>
      <c r="D26" s="23">
        <f>(1+'Deal &amp; Financing'!$C$36)^1</f>
        <v>1.12775</v>
      </c>
      <c r="E26" s="23">
        <f>(1+'Deal &amp; Financing'!$C$36)^2</f>
        <v>1.2718200625</v>
      </c>
      <c r="F26" s="23">
        <f>(1+'Deal &amp; Financing'!$C$36)^3</f>
        <v>1.434295075484375</v>
      </c>
    </row>
    <row r="27">
      <c r="B27" s="5" t="inlineStr">
        <is>
          <t>PV of after-tax synergies</t>
        </is>
      </c>
      <c r="D27" s="24">
        <f>D21*(1-'Inputs'!$C$40)/D26</f>
        <v>486.7018842828641</v>
      </c>
      <c r="E27" s="24">
        <f>E21*(1-'Inputs'!$C$40)/E26</f>
        <v>1123.7855433657305</v>
      </c>
      <c r="F27" s="24">
        <f>F21*(1-'Inputs'!$C$40)/F26</f>
        <v>1617.33107757942</v>
      </c>
    </row>
    <row r="28">
      <c r="B28" s="5" t="inlineStr">
        <is>
          <t>PV of after-tax costs to achieve</t>
        </is>
      </c>
      <c r="D28" s="24">
        <f>D23*(1-'Inputs'!$C$40)/D26</f>
        <v>1114.7364220793615</v>
      </c>
      <c r="E28" s="24">
        <f>E23*(1-'Inputs'!$C$40)/E26</f>
        <v>658.9737217641981</v>
      </c>
      <c r="F28" s="24">
        <f>F23*(1-'Inputs'!$C$40)/F26</f>
        <v>0.0</v>
      </c>
    </row>
    <row r="29">
      <c r="B29" s="5" t="inlineStr">
        <is>
          <t>PV of terminal value (run-rate after tax, growing)</t>
        </is>
      </c>
      <c r="C29" s="24">
        <f>C21*(1-'Inputs'!$C$40)*(1+'Inputs'!$C$45)/('Deal &amp; Financing'!$C$36-'Inputs'!$C$45)/F26</f>
        <v>19168.368326867203</v>
      </c>
    </row>
    <row r="30">
      <c r="B30" s="5" t="inlineStr">
        <is>
          <t>Gross synergy NPV</t>
        </is>
      </c>
      <c r="C30" s="24">
        <f>SUM($D$27:$F$27)+$C$29</f>
        <v>22396.186832095216</v>
      </c>
    </row>
    <row r="31">
      <c r="B31" s="5" t="inlineStr">
        <is>
          <t>Less: PV of costs to achieve</t>
        </is>
      </c>
      <c r="C31" s="24">
        <f>SUM($D$28:$F$28)</f>
        <v>1773.7101438435598</v>
      </c>
    </row>
    <row r="32">
      <c r="B32" s="6" t="inlineStr">
        <is>
          <t>Net synergy NPV</t>
        </is>
      </c>
      <c r="C32" s="25">
        <f>$C$30-$C$31</f>
        <v>20622.476688251656</v>
      </c>
    </row>
    <row r="33">
      <c r="B33" s="5" t="inlineStr">
        <is>
          <t>Terminal value share of gross NPV</t>
        </is>
      </c>
      <c r="C33" s="28">
        <f>$C$29/$C$30</f>
        <v>0.8558764253295862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H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70" customWidth="1" min="8" max="8"/>
  </cols>
  <sheetData>
    <row r="1">
      <c r="B1" s="1" t="inlineStr">
        <is>
          <t>Pro forma earnings, holdco cash and returns</t>
        </is>
      </c>
    </row>
    <row r="3">
      <c r="B3" s="3" t="inlineStr">
        <is>
          <t>Consolidated income statement (100%)</t>
        </is>
      </c>
      <c r="C3" s="31" t="n"/>
      <c r="D3" s="21" t="inlineStr">
        <is>
          <t>FY2023E</t>
        </is>
      </c>
      <c r="E3" s="21" t="inlineStr">
        <is>
          <t>FY2024E</t>
        </is>
      </c>
      <c r="F3" s="21" t="inlineStr">
        <is>
          <t>FY2025E</t>
        </is>
      </c>
      <c r="G3" s="4" t="n"/>
      <c r="H3" s="4" t="n"/>
    </row>
    <row r="4">
      <c r="B4" s="5" t="inlineStr">
        <is>
          <t>Revenue (Ambuja + ACC)</t>
        </is>
      </c>
      <c r="D4" s="24">
        <f>'Projections'!$D$9+'Projections'!$D$18</f>
        <v>33745.600000000006</v>
      </c>
      <c r="E4" s="24">
        <f>'Projections'!$E$9+'Projections'!$E$18</f>
        <v>36782.70400000001</v>
      </c>
      <c r="F4" s="24">
        <f>'Projections'!$F$9+'Projections'!$F$18</f>
        <v>39725.32032000001</v>
      </c>
    </row>
    <row r="5">
      <c r="B5" s="5" t="inlineStr">
        <is>
          <t>EBITDA incl. synergies, less costs to achieve</t>
        </is>
      </c>
      <c r="D5" s="24">
        <f>'Projections'!$D$10+'Projections'!$D$19+'Synergies'!$D$21-'Synergies'!$D$23</f>
        <v>4042.3608000000004</v>
      </c>
      <c r="E5" s="24">
        <f>'Projections'!$E$10+'Projections'!$E$19+'Synergies'!$E$21-'Synergies'!$E$23</f>
        <v>6963.512352000002</v>
      </c>
      <c r="F5" s="24">
        <f>'Projections'!$F$10+'Projections'!$F$19+'Synergies'!$F$21-'Synergies'!$F$23</f>
        <v>10164.646543360002</v>
      </c>
    </row>
    <row r="6">
      <c r="B6" s="5" t="inlineStr">
        <is>
          <t>PPA amortisation — Ambuja (incl. inventory in Year 1)</t>
        </is>
      </c>
      <c r="D6" s="24">
        <f>'PPA &amp; Goodwill'!$C$10+'Inputs'!$C$53</f>
        <v>816.6666666666666</v>
      </c>
      <c r="E6" s="24">
        <f>'PPA &amp; Goodwill'!$C$10</f>
        <v>636.6666666666666</v>
      </c>
      <c r="F6" s="24">
        <f>'PPA &amp; Goodwill'!$C$10</f>
        <v>636.6666666666666</v>
      </c>
    </row>
    <row r="7">
      <c r="B7" s="5" t="inlineStr">
        <is>
          <t>PPA amortisation — ACC (incl. inventory in Year 1)</t>
        </is>
      </c>
      <c r="D7" s="24">
        <f>'PPA &amp; Goodwill'!$C$17+'Inputs'!$C$59</f>
        <v>751.3333333333334</v>
      </c>
      <c r="E7" s="24">
        <f>'PPA &amp; Goodwill'!$C$17</f>
        <v>531.3333333333334</v>
      </c>
      <c r="F7" s="24">
        <f>'PPA &amp; Goodwill'!$C$17</f>
        <v>531.3333333333334</v>
      </c>
    </row>
    <row r="8">
      <c r="B8" s="5" t="inlineStr">
        <is>
          <t>D&amp;A incl. PPA</t>
        </is>
      </c>
      <c r="D8" s="24">
        <f>'Projections'!$D$11+'Projections'!$D$20+D6+D7</f>
        <v>2854.88</v>
      </c>
      <c r="E8" s="24">
        <f>'Projections'!$E$11+'Projections'!$E$20+E6+E7</f>
        <v>2570.6992000000005</v>
      </c>
      <c r="F8" s="24">
        <f>'Projections'!$F$11+'Projections'!$F$20+F6+F7</f>
        <v>2682.9151360000005</v>
      </c>
    </row>
    <row r="9">
      <c r="B9" s="5" t="inlineStr">
        <is>
          <t>Treasury income</t>
        </is>
      </c>
      <c r="D9" s="24">
        <f>'Projections'!$D$12+'Projections'!$D$21</f>
        <v>352.40854</v>
      </c>
      <c r="E9" s="24">
        <f>'Projections'!$E$12+'Projections'!$E$21</f>
        <v>352.40854</v>
      </c>
      <c r="F9" s="24">
        <f>'Projections'!$F$12+'Projections'!$F$21</f>
        <v>352.40854</v>
      </c>
    </row>
    <row r="10">
      <c r="B10" s="5" t="inlineStr">
        <is>
          <t>Target interest expense</t>
        </is>
      </c>
      <c r="D10" s="24">
        <f>'Projections'!$D$13+'Projections'!$D$22</f>
        <v>146.0</v>
      </c>
      <c r="E10" s="24">
        <f>'Projections'!$E$13+'Projections'!$E$22</f>
        <v>146.0</v>
      </c>
      <c r="F10" s="24">
        <f>'Projections'!$F$13+'Projections'!$F$22</f>
        <v>146.0</v>
      </c>
    </row>
    <row r="11">
      <c r="B11" s="5" t="inlineStr">
        <is>
          <t>Holdco acquisition interest</t>
        </is>
      </c>
      <c r="D11" s="24">
        <f>'Deal &amp; Financing'!$C$18*'Inputs'!$C$28+'Deal &amp; Financing'!$C$17*'Inputs'!$C$29</f>
        <v>2834.675</v>
      </c>
      <c r="E11" s="24">
        <f>E32*'Inputs'!$C$30</f>
        <v>2694.9375</v>
      </c>
      <c r="F11" s="24">
        <f>F32*'Inputs'!$C$30</f>
        <v>2694.9375</v>
      </c>
    </row>
    <row r="12">
      <c r="B12" s="5" t="inlineStr">
        <is>
          <t>Profit before tax</t>
        </is>
      </c>
      <c r="D12" s="24">
        <f>D5-D8+D9-D10-D11</f>
        <v>-1440.78566</v>
      </c>
      <c r="E12" s="24">
        <f>E5-E8+E9-E10-E11</f>
        <v>1904.284192000001</v>
      </c>
      <c r="F12" s="24">
        <f>F5-F8+F9-F10-F11</f>
        <v>4993.202447360002</v>
      </c>
    </row>
    <row r="13">
      <c r="B13" s="5" t="inlineStr">
        <is>
          <t>Holdco interest after any tax shield</t>
        </is>
      </c>
      <c r="D13" s="24">
        <f>D11*(1-'Inputs'!$C$40*'Inputs'!$C$31)</f>
        <v>2834.675</v>
      </c>
      <c r="E13" s="24">
        <f>E11*(1-'Inputs'!$C$40*'Inputs'!$C$31)</f>
        <v>2694.9375</v>
      </c>
      <c r="F13" s="24">
        <f>F11*(1-'Inputs'!$C$40*'Inputs'!$C$31)</f>
        <v>2694.9375</v>
      </c>
    </row>
    <row r="14">
      <c r="B14" s="5" t="inlineStr">
        <is>
          <t>Tax (no shield on holdco interest unless deductible)</t>
        </is>
      </c>
      <c r="D14" s="24">
        <f>(D12+D11)*'Inputs'!$C$40-D11*'Inputs'!$C$40*'Inputs'!$C$31</f>
        <v>350.841946878</v>
      </c>
      <c r="E14" s="24">
        <f>(E12+E11)*'Inputs'!$C$40-E11*'Inputs'!$C$40*'Inputs'!$C$31</f>
        <v>1157.6240998764001</v>
      </c>
      <c r="F14" s="24">
        <f>(F12+F11)*'Inputs'!$C$40-F11*'Inputs'!$C$40*'Inputs'!$C$31</f>
        <v>1935.1048247505123</v>
      </c>
    </row>
    <row r="15">
      <c r="B15" s="6" t="inlineStr">
        <is>
          <t>Consolidated net income</t>
        </is>
      </c>
      <c r="D15" s="25">
        <f>D12-D14</f>
        <v>-1791.627606878</v>
      </c>
      <c r="E15" s="25">
        <f>E12-E14</f>
        <v>746.6600921236009</v>
      </c>
      <c r="F15" s="25">
        <f>F12-F14</f>
        <v>3058.09762260949</v>
      </c>
    </row>
    <row r="17">
      <c r="B17" s="3" t="inlineStr">
        <is>
          <t>Attribution to Adani</t>
        </is>
      </c>
      <c r="C17" s="31" t="n"/>
      <c r="D17" s="21" t="inlineStr">
        <is>
          <t>FY2023E</t>
        </is>
      </c>
      <c r="E17" s="21" t="inlineStr">
        <is>
          <t>FY2024E</t>
        </is>
      </c>
      <c r="F17" s="21" t="inlineStr">
        <is>
          <t>FY2025E</t>
        </is>
      </c>
      <c r="G17" s="4" t="n"/>
      <c r="H17" s="4" t="n"/>
    </row>
    <row r="18">
      <c r="B18" s="5" t="inlineStr">
        <is>
          <t>Adani share of synergies (EBITDA-weighted look-through)</t>
        </is>
      </c>
      <c r="D18" s="27">
        <f>('Deal &amp; Financing'!$C$24*'Projections'!$D$10+'Deal &amp; Financing'!$C$27*'Projections'!$D$19)/('Projections'!$D$10+'Projections'!$D$19)</f>
        <v>0.5231271161740537</v>
      </c>
      <c r="E18" s="27">
        <f>('Deal &amp; Financing'!$C$24*'Projections'!$E$10+'Deal &amp; Financing'!$C$27*'Projections'!$E$19)/('Projections'!$E$10+'Projections'!$E$19)</f>
        <v>0.5201322790577935</v>
      </c>
      <c r="F18" s="27">
        <f>('Deal &amp; Financing'!$C$24*'Projections'!$F$10+'Deal &amp; Financing'!$C$27*'Projections'!$F$19)/('Projections'!$F$10+'Projections'!$F$19)</f>
        <v>0.518887465204696</v>
      </c>
    </row>
    <row r="19">
      <c r="B19" s="5" t="inlineStr">
        <is>
          <t>Share of standalone net income</t>
        </is>
      </c>
      <c r="D19" s="24">
        <f>'Deal &amp; Financing'!$C$24*'Projections'!$D$15+'Deal &amp; Financing'!$C$27*'Projections'!$D$24</f>
        <v>1535.192645586726</v>
      </c>
      <c r="E19" s="24">
        <f>'Deal &amp; Financing'!$C$24*'Projections'!$E$15+'Deal &amp; Financing'!$C$27*'Projections'!$E$24</f>
        <v>1941.5813556426212</v>
      </c>
      <c r="F19" s="24">
        <f>'Deal &amp; Financing'!$C$24*'Projections'!$F$15+'Deal &amp; Financing'!$C$27*'Projections'!$F$24</f>
        <v>2239.6820595371496</v>
      </c>
    </row>
    <row r="20">
      <c r="B20" s="5" t="inlineStr">
        <is>
          <t>Share of synergies after tax</t>
        </is>
      </c>
      <c r="D20" s="24">
        <f>D18*'Synergies'!$D$21*(1-'Inputs'!$C$40)</f>
        <v>287.1329914277381</v>
      </c>
      <c r="E20" s="24">
        <f>E18*'Synergies'!$E$21*(1-'Inputs'!$C$40)</f>
        <v>743.4006202401885</v>
      </c>
      <c r="F20" s="24">
        <f>F18*'Synergies'!$F$21*(1-'Inputs'!$C$40)</f>
        <v>1203.6788196592893</v>
      </c>
    </row>
    <row r="21">
      <c r="B21" s="5" t="inlineStr">
        <is>
          <t>Share of costs to achieve after tax</t>
        </is>
      </c>
      <c r="D21" s="24">
        <f>D18*'Synergies'!$D$23*(1-'Inputs'!$C$40)</f>
        <v>657.6461153355145</v>
      </c>
      <c r="E21" s="24">
        <f>E18*'Synergies'!$E$23*(1-'Inputs'!$C$40)</f>
        <v>435.9207825492205</v>
      </c>
      <c r="F21" s="24">
        <f>F18*'Synergies'!$F$23*(1-'Inputs'!$C$40)</f>
        <v>0.0</v>
      </c>
    </row>
    <row r="22">
      <c r="B22" s="5" t="inlineStr">
        <is>
          <t>Share of PPA amortisation after tax</t>
        </is>
      </c>
      <c r="D22" s="24">
        <f>('Deal &amp; Financing'!$C$24*D6+'Deal &amp; Financing'!$C$27*D7)*(1-'Inputs'!$C$40)</f>
        <v>600.9312649374841</v>
      </c>
      <c r="E22" s="24">
        <f>('Deal &amp; Financing'!$C$24*E6+'Deal &amp; Financing'!$C$27*E7)*(1-'Inputs'!$C$40)</f>
        <v>452.9115866067796</v>
      </c>
      <c r="F22" s="24">
        <f>('Deal &amp; Financing'!$C$24*F6+'Deal &amp; Financing'!$C$27*F7)*(1-'Inputs'!$C$40)</f>
        <v>452.9115866067796</v>
      </c>
    </row>
    <row r="23">
      <c r="B23" s="6" t="inlineStr">
        <is>
          <t>Adani-attributable net income</t>
        </is>
      </c>
      <c r="D23" s="25">
        <f>D19+D20-D21-D22-D13</f>
        <v>-2270.9267432585348</v>
      </c>
      <c r="E23" s="25">
        <f>E19+E20-E21-E22-E13</f>
        <v>-898.7878932731901</v>
      </c>
      <c r="F23" s="25">
        <f>F19+F20-F21-F22-F13</f>
        <v>295.5117925896593</v>
      </c>
    </row>
    <row r="24">
      <c r="B24" s="5" t="inlineStr">
        <is>
          <t>Non-controlling interests' share</t>
        </is>
      </c>
      <c r="D24" s="24">
        <f>D15-D23</f>
        <v>479.2991363805347</v>
      </c>
      <c r="E24" s="24">
        <f>E15-E23</f>
        <v>1645.447985396791</v>
      </c>
      <c r="F24" s="24">
        <f>F15-F23</f>
        <v>2762.5858300198306</v>
      </c>
    </row>
    <row r="26">
      <c r="B26" s="3" t="inlineStr">
        <is>
          <t>Holdco cash and debt</t>
        </is>
      </c>
      <c r="C26" s="31" t="n"/>
      <c r="D26" s="21" t="inlineStr">
        <is>
          <t>FY2023E</t>
        </is>
      </c>
      <c r="E26" s="21" t="inlineStr">
        <is>
          <t>FY2024E</t>
        </is>
      </c>
      <c r="F26" s="21" t="inlineStr">
        <is>
          <t>FY2025E</t>
        </is>
      </c>
      <c r="G26" s="4" t="n"/>
      <c r="H26" s="4" t="n"/>
    </row>
    <row r="27">
      <c r="B27" s="5" t="inlineStr">
        <is>
          <t>Dividends received, net of withholding tax</t>
        </is>
      </c>
      <c r="D27" s="24">
        <f>'Deal &amp; Financing'!$C$24*'Projections'!$D$29*(1-'Inputs'!$C$32)+'Deal &amp; Financing'!$C$25*'Projections'!$D$27*(1-'Inputs'!$C$33)</f>
        <v>229.9010330378734</v>
      </c>
      <c r="E27" s="24">
        <f>'Deal &amp; Financing'!$C$24*'Projections'!$E$29*(1-'Inputs'!$C$32)+'Deal &amp; Financing'!$C$25*'Projections'!$E$27*(1-'Inputs'!$C$33)</f>
        <v>287.55307578056664</v>
      </c>
      <c r="F27" s="24">
        <f>'Deal &amp; Financing'!$C$24*'Projections'!$F$29*(1-'Inputs'!$C$32)+'Deal &amp; Financing'!$C$25*'Projections'!$F$27*(1-'Inputs'!$C$33)</f>
        <v>330.32153476662614</v>
      </c>
    </row>
    <row r="28">
      <c r="B28" s="5" t="inlineStr">
        <is>
          <t>Holdco cash flow (dividends − interest)</t>
        </is>
      </c>
      <c r="D28" s="24">
        <f>D27-D13</f>
        <v>-2604.773966962127</v>
      </c>
      <c r="E28" s="24">
        <f>E27-E13</f>
        <v>-2407.384424219433</v>
      </c>
      <c r="F28" s="24">
        <f>F27-F13</f>
        <v>-2364.615965233374</v>
      </c>
    </row>
    <row r="29">
      <c r="B29" s="5" t="inlineStr">
        <is>
          <t>Dividend / interest cover</t>
        </is>
      </c>
      <c r="D29" s="29">
        <f>D27/D13</f>
        <v>0.08110313635174168</v>
      </c>
      <c r="E29" s="29">
        <f>E27/E13</f>
        <v>0.10670120393536646</v>
      </c>
      <c r="F29" s="29">
        <f>F27/F13</f>
        <v>0.1225711300416526</v>
      </c>
    </row>
    <row r="30">
      <c r="B30" s="5" t="inlineStr">
        <is>
          <t>Sponsor top-up needed</t>
        </is>
      </c>
      <c r="D30" s="24">
        <f>MAX(-D28,0)</f>
        <v>2604.773966962127</v>
      </c>
      <c r="E30" s="24">
        <f>MAX(-E28,0)</f>
        <v>2407.384424219433</v>
      </c>
      <c r="F30" s="24">
        <f>MAX(-F28,0)</f>
        <v>2364.615965233374</v>
      </c>
    </row>
    <row r="31">
      <c r="B31" s="5" t="inlineStr">
        <is>
          <t>Debt repaid from surplus</t>
        </is>
      </c>
      <c r="D31" s="24">
        <f>MAX(D28,0)</f>
        <v>0.0</v>
      </c>
      <c r="E31" s="24">
        <f>MAX(E28,0)</f>
        <v>0.0</v>
      </c>
      <c r="F31" s="24">
        <f>MAX(F28,0)</f>
        <v>0.0</v>
      </c>
    </row>
    <row r="32">
      <c r="B32" s="5" t="inlineStr">
        <is>
          <t>Holdco debt — opening</t>
        </is>
      </c>
      <c r="D32" s="24">
        <f>'Deal &amp; Financing'!$C$16</f>
        <v>35932.5</v>
      </c>
      <c r="E32" s="24">
        <f>D33</f>
        <v>35932.5</v>
      </c>
      <c r="F32" s="24">
        <f>E33</f>
        <v>35932.5</v>
      </c>
    </row>
    <row r="33">
      <c r="B33" s="5" t="inlineStr">
        <is>
          <t>Holdco debt — closing</t>
        </is>
      </c>
      <c r="D33" s="24">
        <f>D32-D31</f>
        <v>35932.5</v>
      </c>
      <c r="E33" s="24">
        <f>E32-E31</f>
        <v>35932.5</v>
      </c>
      <c r="F33" s="24">
        <f>F32-F31</f>
        <v>35932.5</v>
      </c>
    </row>
    <row r="34">
      <c r="B34" s="5" t="inlineStr">
        <is>
          <t>Sponsor equity invested — opening</t>
        </is>
      </c>
      <c r="D34" s="24">
        <f>'Deal &amp; Financing'!$C$19</f>
        <v>15720.84814860001</v>
      </c>
      <c r="E34" s="24">
        <f>D34+D30</f>
        <v>18325.622115562135</v>
      </c>
      <c r="F34" s="24">
        <f>E34+E30</f>
        <v>20733.006539781567</v>
      </c>
    </row>
    <row r="36">
      <c r="B36" s="3" t="inlineStr">
        <is>
          <t>Returns</t>
        </is>
      </c>
      <c r="C36" s="31" t="n"/>
      <c r="D36" s="21" t="inlineStr">
        <is>
          <t>FY2023E</t>
        </is>
      </c>
      <c r="E36" s="21" t="inlineStr">
        <is>
          <t>FY2024E</t>
        </is>
      </c>
      <c r="F36" s="21" t="inlineStr">
        <is>
          <t>FY2025E</t>
        </is>
      </c>
      <c r="G36" s="4" t="n"/>
      <c r="H36" s="4" t="n"/>
    </row>
    <row r="37">
      <c r="B37" s="5" t="inlineStr">
        <is>
          <t>Return on sponsor equity (attributable NI / equity invested)</t>
        </is>
      </c>
      <c r="D37" s="28">
        <f>D23/D34</f>
        <v>-0.14445319500530687</v>
      </c>
      <c r="E37" s="28">
        <f>E23/E34</f>
        <v>-0.04904542326614596</v>
      </c>
      <c r="F37" s="28">
        <f>F23/F34</f>
        <v>0.014253205005392946</v>
      </c>
    </row>
    <row r="38">
      <c r="B38" s="5" t="inlineStr">
        <is>
          <t>Levered cost of equity</t>
        </is>
      </c>
      <c r="D38" s="28">
        <f>'Deal &amp; Financing'!$C$39</f>
        <v>0.25827893986184824</v>
      </c>
      <c r="E38" s="28">
        <f>'Deal &amp; Financing'!$C$39</f>
        <v>0.25827893986184824</v>
      </c>
      <c r="F38" s="28">
        <f>'Deal &amp; Financing'!$C$39</f>
        <v>0.25827893986184824</v>
      </c>
    </row>
    <row r="39">
      <c r="B39" s="5" t="inlineStr">
        <is>
          <t>Cash earnings before acquisition financing</t>
        </is>
      </c>
      <c r="D39" s="24">
        <f>D23+D13+D22+D21</f>
        <v>1822.325637014464</v>
      </c>
      <c r="E39" s="24">
        <f>E23+E13+E22+E21</f>
        <v>2684.98197588281</v>
      </c>
      <c r="F39" s="24">
        <f>F23+F13+F22+F21</f>
        <v>3443.360879196439</v>
      </c>
    </row>
    <row r="40">
      <c r="B40" s="6" t="inlineStr">
        <is>
          <t>Cash ROIC on total investment</t>
        </is>
      </c>
      <c r="D40" s="32">
        <f>D39/'Deal &amp; Financing'!$C$13</f>
        <v>0.03527991315823069</v>
      </c>
      <c r="E40" s="32">
        <f>E39/'Deal &amp; Financing'!$C$13</f>
        <v>0.051980792574345104</v>
      </c>
      <c r="F40" s="32">
        <f>F39/'Deal &amp; Financing'!$C$13</f>
        <v>0.06666287864419426</v>
      </c>
    </row>
    <row r="41">
      <c r="B41" s="5" t="inlineStr">
        <is>
          <t>Unlevered cost of capital</t>
        </is>
      </c>
      <c r="D41" s="27">
        <f>'Deal &amp; Financing'!$C$36</f>
        <v>0.12775</v>
      </c>
      <c r="E41" s="27">
        <f>'Deal &amp; Financing'!$C$36</f>
        <v>0.12775</v>
      </c>
      <c r="F41" s="27">
        <f>'Deal &amp; Financing'!$C$36</f>
        <v>0.12775</v>
      </c>
    </row>
    <row r="42">
      <c r="B42" s="5" t="inlineStr">
        <is>
          <t>Breakeven in-year synergies for ROIC = cost of capital</t>
        </is>
      </c>
      <c r="D42" s="24">
        <f>MAX(0,('Deal &amp; Financing'!$C$36*'Deal &amp; Financing'!$C$13-(D39-D20))/(D18*(1-'Inputs'!$C$40)))</f>
        <v>12935.099496067</v>
      </c>
      <c r="E42" s="24">
        <f>MAX(0,('Deal &amp; Financing'!$C$36*'Deal &amp; Financing'!$C$13-(E39-E20))/(E18*(1-'Inputs'!$C$40)))</f>
        <v>11965.453686973522</v>
      </c>
      <c r="F42" s="24">
        <f>MAX(0,('Deal &amp; Financing'!$C$36*'Deal &amp; Financing'!$C$13-(F39-F20))/(F18*(1-'Inputs'!$C$40)))</f>
        <v>11226.41903743817</v>
      </c>
    </row>
    <row r="44">
      <c r="B44" s="3" t="inlineStr">
        <is>
          <t>Value creation: Adani's share of synergy NPV vs premium paid</t>
        </is>
      </c>
      <c r="C44" s="4" t="n"/>
      <c r="D44" s="4" t="n"/>
      <c r="E44" s="4" t="n"/>
      <c r="F44" s="4" t="n"/>
      <c r="G44" s="4" t="n"/>
      <c r="H44" s="4" t="n"/>
    </row>
    <row r="45">
      <c r="B45" s="5" t="inlineStr">
        <is>
          <t>Adani share of net synergy NPV (final-year look-through weight)</t>
        </is>
      </c>
      <c r="C45" s="24">
        <f>F18*'Synergies'!$C$32</f>
        <v>10700.744655009836</v>
      </c>
    </row>
    <row r="46">
      <c r="B46" s="5" t="inlineStr">
        <is>
          <t>Premium paid + transaction costs</t>
        </is>
      </c>
      <c r="C46" s="24">
        <f>'Deal &amp; Financing'!$C$32+'Deal &amp; Financing'!$C$12</f>
        <v>3991.760507799997</v>
      </c>
    </row>
    <row r="47">
      <c r="B47" s="6" t="inlineStr">
        <is>
          <t>Net value created for Adani</t>
        </is>
      </c>
      <c r="C47" s="25">
        <f>$C$45-$C$46</f>
        <v>6708.984147209839</v>
      </c>
    </row>
    <row r="48">
      <c r="B48" s="5" t="inlineStr">
        <is>
          <t>Breakeven run-rate synergies</t>
        </is>
      </c>
      <c r="C48" s="24">
        <f>($C$46/F18+'Synergies'!$C$31)/('Synergies'!$C$30/'Synergies'!$C$21)</f>
        <v>1310.3372525224252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H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70" customWidth="1" min="8" max="8"/>
  </cols>
  <sheetData>
    <row r="1">
      <c r="B1" s="1" t="inlineStr">
        <is>
          <t>Pro forma balance sheet at close</t>
        </is>
      </c>
    </row>
    <row r="2">
      <c r="B2" s="2" t="inlineStr">
        <is>
          <t>31-Dec-2021 audited balance sheets used as the closing proxy.</t>
        </is>
      </c>
    </row>
    <row r="4">
      <c r="B4" s="3" t="inlineStr">
        <is>
          <t>Assets</t>
        </is>
      </c>
      <c r="C4" s="4" t="n"/>
      <c r="D4" s="4" t="n"/>
      <c r="E4" s="4" t="n"/>
      <c r="F4" s="4" t="n"/>
      <c r="G4" s="4" t="n"/>
      <c r="H4" s="4" t="n"/>
    </row>
    <row r="5">
      <c r="B5" s="5" t="inlineStr">
        <is>
          <t>Fixed assets &amp; CWIP (incl. PP&amp;E step-up)</t>
        </is>
      </c>
      <c r="C5" s="24">
        <f>'Inputs'!$C$72+'Inputs'!$C$73+'Inputs'!$C$87+'Inputs'!$C$88+'Inputs'!$C$48+'Inputs'!$C$54</f>
        <v>22557.0</v>
      </c>
    </row>
    <row r="6">
      <c r="B6" s="5" t="inlineStr">
        <is>
          <t>Acquired intangibles</t>
        </is>
      </c>
      <c r="C6" s="24">
        <f>'PPA &amp; Goodwill'!$C$30</f>
        <v>16520.0</v>
      </c>
    </row>
    <row r="7">
      <c r="B7" s="5" t="inlineStr">
        <is>
          <t>Goodwill</t>
        </is>
      </c>
      <c r="C7" s="24">
        <f>'PPA &amp; Goodwill'!$C$28</f>
        <v>30218.8652384305</v>
      </c>
    </row>
    <row r="8">
      <c r="B8" s="5" t="inlineStr">
        <is>
          <t>Inventories (incl. step-up)</t>
        </is>
      </c>
      <c r="C8" s="24">
        <f>'Inputs'!$C$75+'Inputs'!$C$90+'Inputs'!$C$53+'Inputs'!$C$59</f>
        <v>3137.0</v>
      </c>
    </row>
    <row r="9">
      <c r="B9" s="5" t="inlineStr">
        <is>
          <t>Trade receivables</t>
        </is>
      </c>
      <c r="C9" s="24">
        <f>'Inputs'!$C$76+'Inputs'!$C$91</f>
        <v>757.0</v>
      </c>
    </row>
    <row r="10">
      <c r="B10" s="5" t="inlineStr">
        <is>
          <t>Cash (targets; holdco holds none)</t>
        </is>
      </c>
      <c r="C10" s="24">
        <f>'Inputs'!$C$77+'Inputs'!$C$92</f>
        <v>11572.0</v>
      </c>
    </row>
    <row r="11">
      <c r="B11" s="5" t="inlineStr">
        <is>
          <t>Investments (Ambuja's ACC stake eliminated)</t>
        </is>
      </c>
      <c r="C11" s="24">
        <f>'Inputs'!$C$89</f>
        <v>193.0</v>
      </c>
    </row>
    <row r="12">
      <c r="B12" s="5" t="inlineStr">
        <is>
          <t>Other assets</t>
        </is>
      </c>
      <c r="C12" s="24">
        <f>'Inputs'!$C$78+'Inputs'!$C$93</f>
        <v>5512.0</v>
      </c>
    </row>
    <row r="13">
      <c r="B13" s="6" t="inlineStr">
        <is>
          <t>Total assets</t>
        </is>
      </c>
      <c r="C13" s="25">
        <f>$C$5+$C$6+$C$7+$C$8+$C$9+$C$10+$C$11+$C$12</f>
        <v>90466.8652384305</v>
      </c>
    </row>
    <row r="15">
      <c r="B15" s="3" t="inlineStr">
        <is>
          <t>Liabilities and equity</t>
        </is>
      </c>
      <c r="C15" s="4" t="n"/>
      <c r="D15" s="4" t="n"/>
      <c r="E15" s="4" t="n"/>
      <c r="F15" s="4" t="n"/>
      <c r="G15" s="4" t="n"/>
      <c r="H15" s="4" t="n"/>
    </row>
    <row r="16">
      <c r="B16" s="5" t="inlineStr">
        <is>
          <t>Acquisition debt (holdco)</t>
        </is>
      </c>
      <c r="C16" s="24">
        <f>'Deal &amp; Financing'!$C$16</f>
        <v>35932.5</v>
      </c>
    </row>
    <row r="17">
      <c r="B17" s="5" t="inlineStr">
        <is>
          <t>Target borrowings &amp; leases</t>
        </is>
      </c>
      <c r="C17" s="24">
        <f>'Inputs'!$C$70+'Inputs'!$C$85</f>
        <v>477.0</v>
      </c>
    </row>
    <row r="18">
      <c r="B18" s="5" t="inlineStr">
        <is>
          <t>Deferred tax on step-ups</t>
        </is>
      </c>
      <c r="C18" s="24">
        <f>'PPA &amp; Goodwill'!$C$6+'PPA &amp; Goodwill'!$C$14</f>
        <v>5768.964</v>
      </c>
    </row>
    <row r="19">
      <c r="B19" s="5" t="inlineStr">
        <is>
          <t>Other liabilities</t>
        </is>
      </c>
      <c r="C19" s="24">
        <f>'Inputs'!$C$71+'Inputs'!$C$86</f>
        <v>12192.0</v>
      </c>
    </row>
    <row r="20">
      <c r="B20" s="5" t="inlineStr">
        <is>
          <t>Adani equity (sponsor equity less expensed costs)</t>
        </is>
      </c>
      <c r="C20" s="24">
        <f>'Deal &amp; Financing'!$C$19-'Deal &amp; Financing'!$C$12</f>
        <v>15209.428860000009</v>
      </c>
    </row>
    <row r="21">
      <c r="B21" s="5" t="inlineStr">
        <is>
          <t>Non-controlling interests</t>
        </is>
      </c>
      <c r="C21" s="24">
        <f>(1-'Deal &amp; Financing'!$C$24)*'PPA &amp; Goodwill'!$C$9+(1-'Deal &amp; Financing'!$C$27)*'PPA &amp; Goodwill'!$C$16</f>
        <v>20886.972378430495</v>
      </c>
    </row>
    <row r="22">
      <c r="B22" s="6" t="inlineStr">
        <is>
          <t>Total liabilities &amp; equity</t>
        </is>
      </c>
      <c r="C22" s="25">
        <f>$C$16+$C$17+$C$18+$C$19+$C$20+$C$21</f>
        <v>90466.8652384305</v>
      </c>
    </row>
    <row r="24">
      <c r="B24" s="3" t="inlineStr">
        <is>
          <t>Credit metrics at close</t>
        </is>
      </c>
      <c r="C24" s="4" t="n"/>
      <c r="D24" s="4" t="n"/>
      <c r="E24" s="4" t="n"/>
      <c r="F24" s="4" t="n"/>
      <c r="G24" s="4" t="n"/>
      <c r="H24" s="4" t="n"/>
    </row>
    <row r="25">
      <c r="B25" s="5" t="inlineStr">
        <is>
          <t>Consolidated gross debt</t>
        </is>
      </c>
      <c r="C25" s="24">
        <f>$C$16+$C$17</f>
        <v>36409.5</v>
      </c>
    </row>
    <row r="26">
      <c r="B26" s="5" t="inlineStr">
        <is>
          <t>Gross debt / CY2021 EBITDA</t>
        </is>
      </c>
      <c r="C26" s="30">
        <f>$C$25/('Inputs'!$C$95+'Inputs'!$C$96)</f>
        <v>5.8583266291230895</v>
      </c>
    </row>
    <row r="27">
      <c r="B27" s="5" t="inlineStr">
        <is>
          <t>Net debt / CY2021 EBITDA</t>
        </is>
      </c>
      <c r="C27" s="30">
        <f>($C$25-$C$10)/('Inputs'!$C$95+'Inputs'!$C$96)</f>
        <v>3.996379726468222</v>
      </c>
    </row>
    <row r="28">
      <c r="B28" s="5" t="inlineStr">
        <is>
          <t>Holdco loan-to-value at cost</t>
        </is>
      </c>
      <c r="C28" s="28">
        <f>'Deal &amp; Financing'!$C$16/'Deal &amp; Financing'!$C$10</f>
        <v>0.7026035349265861</v>
      </c>
    </row>
    <row r="29">
      <c r="B29" s="5" t="inlineStr">
        <is>
          <t>Holdco loan-to-value at completion-day market prices</t>
        </is>
      </c>
      <c r="C29" s="28">
        <f>'Deal &amp; Financing'!$C$16/'Deal &amp; Financing'!$C$33</f>
        <v>0.5280807622991944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K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24" customWidth="1" min="3" max="3"/>
    <col width="32" customWidth="1" min="4" max="4"/>
    <col width="14" customWidth="1" min="5" max="5"/>
    <col width="12" customWidth="1" min="6" max="6"/>
    <col width="10" customWidth="1" min="7" max="7"/>
    <col width="12" customWidth="1" min="8" max="8"/>
    <col width="12" customWidth="1" min="9" max="9"/>
    <col width="40" customWidth="1" min="10" max="10"/>
    <col width="60" customWidth="1" min="11" max="11"/>
  </cols>
  <sheetData>
    <row r="1">
      <c r="B1" s="1" t="inlineStr">
        <is>
          <t>Precedent transactions — Indian cement (announced before May-2022)</t>
        </is>
      </c>
    </row>
    <row r="2">
      <c r="B2" s="2" t="inlineStr">
        <is>
          <t>EV/tonne is the sector benchmark. Most precedents were asset or unlisted deals, so control premiums are not comparable; EV/EBITDA was not reliably disclosed.</t>
        </is>
      </c>
    </row>
    <row r="4">
      <c r="B4" s="7" t="inlineStr">
        <is>
          <t>Date</t>
        </is>
      </c>
      <c r="C4" s="7" t="inlineStr">
        <is>
          <t>Acquirer</t>
        </is>
      </c>
      <c r="D4" s="7" t="inlineStr">
        <is>
          <t>Target</t>
        </is>
      </c>
      <c r="E4" s="7" t="inlineStr">
        <is>
          <t>Capacity (MTPA)</t>
        </is>
      </c>
      <c r="F4" s="7" t="inlineStr">
        <is>
          <t>EV (₹ Cr)</t>
        </is>
      </c>
      <c r="G4" s="7" t="inlineStr">
        <is>
          <t>INR/USD</t>
        </is>
      </c>
      <c r="H4" s="7" t="inlineStr">
        <is>
          <t>EV/t (₹)</t>
        </is>
      </c>
      <c r="I4" s="7" t="inlineStr">
        <is>
          <t>EV/t (US$)</t>
        </is>
      </c>
      <c r="J4" s="7" t="inlineStr">
        <is>
          <t>Note</t>
        </is>
      </c>
      <c r="K4" s="7" t="inlineStr">
        <is>
          <t>Source</t>
        </is>
      </c>
    </row>
    <row r="5">
      <c r="B5" t="inlineStr">
        <is>
          <t>Sep-2013</t>
        </is>
      </c>
      <c r="C5" t="inlineStr">
        <is>
          <t>UltraTech Cement</t>
        </is>
      </c>
      <c r="D5" t="inlineStr">
        <is>
          <t>Jaypee Gujarat unit</t>
        </is>
      </c>
      <c r="E5" s="18" t="n">
        <v>4.8</v>
      </c>
      <c r="F5" s="22" t="n">
        <v>3800</v>
      </c>
      <c r="G5" s="15" t="n">
        <v>63.16</v>
      </c>
      <c r="H5" s="9">
        <f>F5*10/E5</f>
        <v>7916.666666666667</v>
      </c>
      <c r="I5" s="9">
        <f>H5/G5</f>
        <v>125.34304412075154</v>
      </c>
      <c r="J5" t="inlineStr"/>
      <c r="K5" s="2" t="inlineStr">
        <is>
          <t>Business Standard, 12-Sep-2013 — https://www.business-standard.com/article/companies/birla-buys-jaypee-s-gujarat-cement-unit-for-rs-3-800-cr-113091200054_1.html</t>
        </is>
      </c>
    </row>
    <row r="6">
      <c r="B6" t="inlineStr">
        <is>
          <t>Mar-2016</t>
        </is>
      </c>
      <c r="C6" t="inlineStr">
        <is>
          <t>UltraTech Cement</t>
        </is>
      </c>
      <c r="D6" t="inlineStr">
        <is>
          <t>Jaiprakash Associates (6 plants)</t>
        </is>
      </c>
      <c r="E6" s="18" t="n">
        <v>21.2</v>
      </c>
      <c r="F6" s="22" t="n">
        <v>16189</v>
      </c>
      <c r="G6" s="15" t="n">
        <v>66.37</v>
      </c>
      <c r="H6" s="9">
        <f>F6*10/E6</f>
        <v>7636.320754716981</v>
      </c>
      <c r="I6" s="9">
        <f>H6/G6</f>
        <v>115.05681414369415</v>
      </c>
      <c r="J6" t="inlineStr">
        <is>
          <t>Seller deleveraging; EV as revised from ₹15,900 Cr</t>
        </is>
      </c>
      <c r="K6" s="2" t="inlineStr">
        <is>
          <t>Business Standard, 5-Jul-2016 — https://www.business-standard.com/article/markets/jp-deal-big-leap-for-ultratech-116070501043_1.html</t>
        </is>
      </c>
    </row>
    <row r="7">
      <c r="B7" t="inlineStr">
        <is>
          <t>Jul-2016</t>
        </is>
      </c>
      <c r="C7" t="inlineStr">
        <is>
          <t>Nirma</t>
        </is>
      </c>
      <c r="D7" t="inlineStr">
        <is>
          <t>Lafarge India</t>
        </is>
      </c>
      <c r="E7" s="18" t="n">
        <v>11</v>
      </c>
      <c r="F7" s="22" t="n">
        <v>9400</v>
      </c>
      <c r="G7" s="15" t="n">
        <v>67.13</v>
      </c>
      <c r="H7" s="9">
        <f>F7*10/E7</f>
        <v>8545.454545454546</v>
      </c>
      <c r="I7" s="9">
        <f>H7/G7</f>
        <v>127.29710331378737</v>
      </c>
      <c r="J7" t="inlineStr"/>
      <c r="K7" s="2" t="inlineStr">
        <is>
          <t>Business Standard, 11-Jul-2016 — https://www.business-standard.com/article/companies/nirma-cements-1-4-bn-lafarge-india-buyout-116071100403_1.html</t>
        </is>
      </c>
    </row>
    <row r="8">
      <c r="B8" t="inlineStr">
        <is>
          <t>May-2018</t>
        </is>
      </c>
      <c r="C8" t="inlineStr">
        <is>
          <t>UltraTech Cement</t>
        </is>
      </c>
      <c r="D8" t="inlineStr">
        <is>
          <t>Century Textiles (cement)</t>
        </is>
      </c>
      <c r="E8" s="18" t="n">
        <v>14.6</v>
      </c>
      <c r="F8" s="22" t="n">
        <v>8621</v>
      </c>
      <c r="G8" s="15" t="n">
        <v>67.97</v>
      </c>
      <c r="H8" s="9">
        <f>F8*10/E8</f>
        <v>5904.7945205479455</v>
      </c>
      <c r="I8" s="9">
        <f>H8/G8</f>
        <v>86.87354009927829</v>
      </c>
      <c r="J8" t="inlineStr"/>
      <c r="K8" s="2" t="inlineStr">
        <is>
          <t>Legally India, 22-May-2018 (EV) — https://www.legallyindia.com/corporatemna/trilegal-khaitan-vaish-on-ultratech-cem-s-buy-of-century-textile-s-cement-biz-20180522-9362 ; capacity per CARE Ratings report on UltraTech</t>
        </is>
      </c>
    </row>
    <row r="9">
      <c r="B9" t="inlineStr">
        <is>
          <t>Nov-2018</t>
        </is>
      </c>
      <c r="C9" t="inlineStr">
        <is>
          <t>UltraTech Cement</t>
        </is>
      </c>
      <c r="D9" t="inlineStr">
        <is>
          <t>Binani Cement</t>
        </is>
      </c>
      <c r="E9" s="18" t="n">
        <v>11</v>
      </c>
      <c r="F9" s="22" t="n">
        <v>7900</v>
      </c>
      <c r="G9" s="15" t="n">
        <v>71.69</v>
      </c>
      <c r="H9" s="9">
        <f>F9*10/E9</f>
        <v>7181.818181818182</v>
      </c>
      <c r="I9" s="9">
        <f>H9/G9</f>
        <v>100.1788001369533</v>
      </c>
      <c r="J9" t="inlineStr">
        <is>
          <t>Distressed (IBC); capacity incl. ~5 MTPA overseas</t>
        </is>
      </c>
      <c r="K9" s="2" t="inlineStr">
        <is>
          <t>Business Standard, 25-Dec-2019 (Kotak estimate of EV) — https://www.business-standard.com/amp/article/companies/ultratech-cement-street-watchful-on-valuations-of-new-acquisition-119122500555_1.html</t>
        </is>
      </c>
    </row>
    <row r="10">
      <c r="B10" t="inlineStr">
        <is>
          <t>Feb-2020</t>
        </is>
      </c>
      <c r="C10" t="inlineStr">
        <is>
          <t>Nuvoco Vistas (Nirma)</t>
        </is>
      </c>
      <c r="D10" t="inlineStr">
        <is>
          <t>Emami Cement</t>
        </is>
      </c>
      <c r="E10" s="18" t="n">
        <v>8.300000000000001</v>
      </c>
      <c r="F10" s="22" t="n">
        <v>5500</v>
      </c>
      <c r="G10" s="15" t="n">
        <v>71.28</v>
      </c>
      <c r="H10" s="9">
        <f>F10*10/E10</f>
        <v>6626.506024096385</v>
      </c>
      <c r="I10" s="9">
        <f>H10/G10</f>
        <v>92.96445039416926</v>
      </c>
      <c r="J10" t="inlineStr"/>
      <c r="K10" s="2" t="inlineStr">
        <is>
          <t>Nuvoco press release, Feb-2020 — https://admin.nuvoco.com/public/MediaRalationsDetails/Nirma%20Group%20announces%20the%20acquisition%20of%20Emami%20Cement%20-%20Feb%202020.pdf</t>
        </is>
      </c>
    </row>
    <row r="12">
      <c r="B12" s="5" t="inlineStr">
        <is>
          <t>Mean EV/t (US$), all</t>
        </is>
      </c>
      <c r="C12" s="24">
        <f>AVERAGE(I5:I10)</f>
        <v>107.95229203477231</v>
      </c>
    </row>
    <row r="13">
      <c r="B13" s="5" t="inlineStr">
        <is>
          <t>Median EV/t (US$), all</t>
        </is>
      </c>
      <c r="C13" s="24">
        <f>MEDIAN(I5:I10)</f>
        <v>107.61780714032372</v>
      </c>
    </row>
    <row r="14">
      <c r="B14" s="5" t="inlineStr">
        <is>
          <t>Median EV/t (US$), excluding distressed</t>
        </is>
      </c>
      <c r="C14" s="24">
        <f>MEDIAN(I5,I6,I7,I8,I10)</f>
        <v>115.05681414369415</v>
      </c>
    </row>
    <row r="15">
      <c r="B15" s="5" t="inlineStr">
        <is>
          <t>This deal EV/t (US$)</t>
        </is>
      </c>
      <c r="C15" s="24">
        <f>'Deal &amp; Financing'!$C$47</f>
        <v>161.27647301653568</v>
      </c>
    </row>
    <row r="16">
      <c r="B16" s="5" t="inlineStr">
        <is>
          <t>This deal vs median (ex-distressed)</t>
        </is>
      </c>
      <c r="C16" s="28">
        <f>$C$15/$C$14-1</f>
        <v>0.4017116171417532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J5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B1" s="1" t="inlineStr">
        <is>
          <t>Sensitivity analysis — STATIC OUTPUT FROM PYTHON</t>
        </is>
      </c>
    </row>
    <row r="2">
      <c r="B2" s="2" t="inlineStr">
        <is>
          <t>Each cell is a full re-run of the Python model with the stated input changed (python run_model.py regenerates this tab).</t>
        </is>
      </c>
    </row>
    <row r="4">
      <c r="B4" s="3" t="inlineStr">
        <is>
          <t>Offer price (both companies) — FY2025E</t>
        </is>
      </c>
      <c r="C4" s="4" t="n"/>
      <c r="D4" s="4" t="n"/>
      <c r="E4" s="4" t="n"/>
      <c r="F4" s="4" t="n"/>
      <c r="G4" s="4" t="n"/>
      <c r="H4" s="4" t="n"/>
    </row>
    <row r="5">
      <c r="B5" s="7" t="inlineStr">
        <is>
          <t>Price vs actual</t>
        </is>
      </c>
      <c r="C5" s="7" t="inlineStr">
        <is>
          <t>Ambuja price (₹)</t>
        </is>
      </c>
      <c r="D5" s="7" t="inlineStr">
        <is>
          <t>Ambuja premium</t>
        </is>
      </c>
      <c r="E5" s="7" t="inlineStr">
        <is>
          <t>Consideration</t>
        </is>
      </c>
      <c r="F5" s="7" t="inlineStr">
        <is>
          <t>Sponsor equity</t>
        </is>
      </c>
      <c r="G5" s="7" t="inlineStr">
        <is>
          <t>Goodwill</t>
        </is>
      </c>
      <c r="H5" s="7" t="inlineStr">
        <is>
          <t>Cash ROIC</t>
        </is>
      </c>
      <c r="I5" s="7" t="inlineStr">
        <is>
          <t>ROE</t>
        </is>
      </c>
      <c r="J5" s="7" t="inlineStr">
        <is>
          <t>Value created</t>
        </is>
      </c>
    </row>
    <row r="6">
      <c r="B6" s="33" t="n">
        <v>0.95</v>
      </c>
      <c r="C6" s="10" t="n">
        <v>365.75</v>
      </c>
      <c r="D6" s="12" t="n">
        <v>0.01851851851851838</v>
      </c>
      <c r="E6" s="9" t="n">
        <v>48584.83241700001</v>
      </c>
      <c r="F6" s="9" t="n">
        <v>13138.18074117001</v>
      </c>
      <c r="G6" s="9" t="n">
        <v>27661.7687954305</v>
      </c>
      <c r="H6" s="11" t="n">
        <v>0.07017145120441502</v>
      </c>
      <c r="I6" s="12" t="n">
        <v>0.01628133724856593</v>
      </c>
      <c r="J6" s="9" t="n">
        <v>9291.651554639842</v>
      </c>
    </row>
    <row r="7">
      <c r="B7" s="33" t="n">
        <v>1</v>
      </c>
      <c r="C7" s="10" t="n">
        <v>385</v>
      </c>
      <c r="D7" s="12" t="n">
        <v>0.07212475633528248</v>
      </c>
      <c r="E7" s="9" t="n">
        <v>51141.92886000001</v>
      </c>
      <c r="F7" s="9" t="n">
        <v>15720.84814860001</v>
      </c>
      <c r="G7" s="9" t="n">
        <v>30218.8652384305</v>
      </c>
      <c r="H7" s="11" t="n">
        <v>0.06666287864419426</v>
      </c>
      <c r="I7" s="12" t="n">
        <v>0.01425320500539295</v>
      </c>
      <c r="J7" s="9" t="n">
        <v>6708.984147209842</v>
      </c>
    </row>
    <row r="8">
      <c r="B8" s="33" t="n">
        <v>1.05</v>
      </c>
      <c r="C8" s="10" t="n">
        <v>404.25</v>
      </c>
      <c r="D8" s="12" t="n">
        <v>0.1257309941520468</v>
      </c>
      <c r="E8" s="9" t="n">
        <v>53699.02530300001</v>
      </c>
      <c r="F8" s="9" t="n">
        <v>18303.51555603001</v>
      </c>
      <c r="G8" s="9" t="n">
        <v>32775.96168143049</v>
      </c>
      <c r="H8" s="11" t="n">
        <v>0.06348845585161358</v>
      </c>
      <c r="I8" s="12" t="n">
        <v>0.0126743834751987</v>
      </c>
      <c r="J8" s="9" t="n">
        <v>4126.316739779842</v>
      </c>
    </row>
    <row r="9">
      <c r="B9" s="33" t="n">
        <v>1.1</v>
      </c>
      <c r="C9" s="10" t="n">
        <v>423.5000000000001</v>
      </c>
      <c r="D9" s="12" t="n">
        <v>0.1793372319688109</v>
      </c>
      <c r="E9" s="9" t="n">
        <v>56256.121746</v>
      </c>
      <c r="F9" s="9" t="n">
        <v>20886.18296346001</v>
      </c>
      <c r="G9" s="9" t="n">
        <v>35333.05812443051</v>
      </c>
      <c r="H9" s="11" t="n">
        <v>0.06060261694926752</v>
      </c>
      <c r="I9" s="12" t="n">
        <v>0.01141045245110637</v>
      </c>
      <c r="J9" s="9" t="n">
        <v>1543.649332349836</v>
      </c>
    </row>
    <row r="10">
      <c r="B10" s="33" t="n">
        <v>1.15</v>
      </c>
      <c r="C10" s="10" t="n">
        <v>442.7499999999999</v>
      </c>
      <c r="D10" s="12" t="n">
        <v>0.2329434697855748</v>
      </c>
      <c r="E10" s="9" t="n">
        <v>58813.21818899999</v>
      </c>
      <c r="F10" s="9" t="n">
        <v>23468.85037089</v>
      </c>
      <c r="G10" s="9" t="n">
        <v>37890.15456743049</v>
      </c>
      <c r="H10" s="11" t="n">
        <v>0.05796772056016894</v>
      </c>
      <c r="I10" s="12" t="n">
        <v>0.01037574880364474</v>
      </c>
      <c r="J10" s="9" t="n">
        <v>-1039.018075080152</v>
      </c>
    </row>
    <row r="11">
      <c r="B11" s="33" t="n">
        <v>1.2</v>
      </c>
      <c r="C11" s="10" t="n">
        <v>462</v>
      </c>
      <c r="D11" s="12" t="n">
        <v>0.2865497076023391</v>
      </c>
      <c r="E11" s="9" t="n">
        <v>61370.314632</v>
      </c>
      <c r="F11" s="9" t="n">
        <v>26051.51777832</v>
      </c>
      <c r="G11" s="9" t="n">
        <v>40447.2510104305</v>
      </c>
      <c r="H11" s="11" t="n">
        <v>0.0555523988701619</v>
      </c>
      <c r="I11" s="12" t="n">
        <v>0.009513097901780022</v>
      </c>
      <c r="J11" s="9" t="n">
        <v>-3621.685482510158</v>
      </c>
    </row>
    <row r="13">
      <c r="B13" s="3" t="inlineStr">
        <is>
          <t>Holdco refinancing rate — FY2025E</t>
        </is>
      </c>
      <c r="C13" s="4" t="n"/>
      <c r="D13" s="4" t="n"/>
      <c r="E13" s="4" t="n"/>
      <c r="F13" s="4" t="n"/>
      <c r="G13" s="4" t="n"/>
      <c r="H13" s="4" t="n"/>
    </row>
    <row r="14">
      <c r="B14" s="7" t="inlineStr">
        <is>
          <t>Refi rate</t>
        </is>
      </c>
      <c r="C14" s="7" t="inlineStr">
        <is>
          <t>Holdco interest</t>
        </is>
      </c>
      <c r="D14" s="7" t="inlineStr">
        <is>
          <t>Attributable NI</t>
        </is>
      </c>
      <c r="E14" s="7" t="inlineStr">
        <is>
          <t>ROE</t>
        </is>
      </c>
      <c r="F14" s="7" t="inlineStr">
        <is>
          <t>Dividend / interest</t>
        </is>
      </c>
    </row>
    <row r="15">
      <c r="B15" s="11" t="n">
        <v>0.06</v>
      </c>
      <c r="C15" s="9" t="n">
        <v>2155.95</v>
      </c>
      <c r="D15" s="9" t="n">
        <v>834.4992925896595</v>
      </c>
      <c r="E15" s="12" t="n">
        <v>0.04132408169694813</v>
      </c>
      <c r="F15" s="13" t="n">
        <v>0.1532139125520658</v>
      </c>
    </row>
    <row r="16">
      <c r="B16" s="11" t="n">
        <v>0.065</v>
      </c>
      <c r="C16" s="9" t="n">
        <v>2335.6125</v>
      </c>
      <c r="D16" s="9" t="n">
        <v>654.8367925896591</v>
      </c>
      <c r="E16" s="12" t="n">
        <v>0.03214130893874175</v>
      </c>
      <c r="F16" s="13" t="n">
        <v>0.1414282269711376</v>
      </c>
    </row>
    <row r="17">
      <c r="B17" s="11" t="n">
        <v>0.07000000000000001</v>
      </c>
      <c r="C17" s="9" t="n">
        <v>2515.275</v>
      </c>
      <c r="D17" s="9" t="n">
        <v>475.1742925896592</v>
      </c>
      <c r="E17" s="12" t="n">
        <v>0.02311907452480463</v>
      </c>
      <c r="F17" s="13" t="n">
        <v>0.1313262107589135</v>
      </c>
    </row>
    <row r="18">
      <c r="B18" s="11" t="n">
        <v>0.075</v>
      </c>
      <c r="C18" s="9" t="n">
        <v>2694.9375</v>
      </c>
      <c r="D18" s="9" t="n">
        <v>295.5117925896593</v>
      </c>
      <c r="E18" s="12" t="n">
        <v>0.01425320500539295</v>
      </c>
      <c r="F18" s="13" t="n">
        <v>0.1225711300416526</v>
      </c>
    </row>
    <row r="19">
      <c r="B19" s="11" t="n">
        <v>0.08</v>
      </c>
      <c r="C19" s="9" t="n">
        <v>2874.6</v>
      </c>
      <c r="D19" s="9" t="n">
        <v>115.8492925896594</v>
      </c>
      <c r="E19" s="12" t="n">
        <v>0.005539670348595036</v>
      </c>
      <c r="F19" s="13" t="n">
        <v>0.1149104344140493</v>
      </c>
    </row>
    <row r="20">
      <c r="B20" s="11" t="n">
        <v>0.08500000000000001</v>
      </c>
      <c r="C20" s="9" t="n">
        <v>3054.2625</v>
      </c>
      <c r="D20" s="9" t="n">
        <v>-63.81320741034051</v>
      </c>
      <c r="E20" s="12" t="n">
        <v>-0.00302542216776673</v>
      </c>
      <c r="F20" s="13" t="n">
        <v>0.1081509970955758</v>
      </c>
    </row>
    <row r="21">
      <c r="B21" s="11" t="n">
        <v>0.09</v>
      </c>
      <c r="C21" s="9" t="n">
        <v>3233.925</v>
      </c>
      <c r="D21" s="9" t="n">
        <v>-243.4757074103409</v>
      </c>
      <c r="E21" s="12" t="n">
        <v>-0.01144583375470149</v>
      </c>
      <c r="F21" s="13" t="n">
        <v>0.1021426083680438</v>
      </c>
    </row>
    <row r="22">
      <c r="B22" s="11" t="n">
        <v>0.095</v>
      </c>
      <c r="C22" s="9" t="n">
        <v>3413.5875</v>
      </c>
      <c r="D22" s="9" t="n">
        <v>-423.1382074103408</v>
      </c>
      <c r="E22" s="12" t="n">
        <v>-0.01972519961922947</v>
      </c>
      <c r="F22" s="13" t="n">
        <v>0.096766681611831</v>
      </c>
    </row>
    <row r="24">
      <c r="B24" s="3" t="inlineStr">
        <is>
          <t>EBITDA margin (both companies, all years) — FY2025E</t>
        </is>
      </c>
      <c r="C24" s="4" t="n"/>
      <c r="D24" s="4" t="n"/>
      <c r="E24" s="4" t="n"/>
      <c r="F24" s="4" t="n"/>
      <c r="G24" s="4" t="n"/>
      <c r="H24" s="4" t="n"/>
    </row>
    <row r="25">
      <c r="B25" s="7" t="inlineStr">
        <is>
          <t>Change (bp)</t>
        </is>
      </c>
      <c r="C25" s="7" t="inlineStr">
        <is>
          <t>Cash ROIC</t>
        </is>
      </c>
      <c r="D25" s="7" t="inlineStr">
        <is>
          <t>ROE</t>
        </is>
      </c>
    </row>
    <row r="26">
      <c r="B26" s="34" t="n">
        <v>-300</v>
      </c>
      <c r="C26" s="11" t="n">
        <v>0.05825541163710734</v>
      </c>
      <c r="D26" s="12" t="n">
        <v>-0.006658153751026582</v>
      </c>
    </row>
    <row r="27">
      <c r="B27" s="34" t="n">
        <v>-200</v>
      </c>
      <c r="C27" s="11" t="n">
        <v>0.06104985856727548</v>
      </c>
      <c r="D27" s="12" t="n">
        <v>0.0002682300745245508</v>
      </c>
    </row>
    <row r="28">
      <c r="B28" s="34" t="n">
        <v>-100</v>
      </c>
      <c r="C28" s="11" t="n">
        <v>0.06385282672824993</v>
      </c>
      <c r="D28" s="12" t="n">
        <v>0.007239798357812378</v>
      </c>
    </row>
    <row r="29">
      <c r="B29" s="34" t="n">
        <v>0</v>
      </c>
      <c r="C29" s="11" t="n">
        <v>0.06666287864419426</v>
      </c>
      <c r="D29" s="12" t="n">
        <v>0.01425320500539295</v>
      </c>
    </row>
    <row r="30">
      <c r="B30" s="34" t="n">
        <v>100</v>
      </c>
      <c r="C30" s="11" t="n">
        <v>0.06947888294999449</v>
      </c>
      <c r="D30" s="12" t="n">
        <v>0.02130584461957561</v>
      </c>
    </row>
    <row r="31">
      <c r="B31" s="34" t="n">
        <v>200</v>
      </c>
      <c r="C31" s="11" t="n">
        <v>0.07229993702702792</v>
      </c>
      <c r="D31" s="12" t="n">
        <v>0.02839566553289365</v>
      </c>
    </row>
    <row r="32">
      <c r="B32" s="34" t="n">
        <v>300</v>
      </c>
      <c r="C32" s="11" t="n">
        <v>0.07512531197299956</v>
      </c>
      <c r="D32" s="12" t="n">
        <v>0.03552103681945722</v>
      </c>
    </row>
    <row r="34">
      <c r="B34" s="3" t="inlineStr">
        <is>
          <t>Holdco interest tax shield — FY2025E</t>
        </is>
      </c>
      <c r="C34" s="4" t="n"/>
      <c r="D34" s="4" t="n"/>
      <c r="E34" s="4" t="n"/>
      <c r="F34" s="4" t="n"/>
      <c r="G34" s="4" t="n"/>
      <c r="H34" s="4" t="n"/>
    </row>
    <row r="35">
      <c r="B35" s="7" t="inlineStr">
        <is>
          <t>Deductible?</t>
        </is>
      </c>
      <c r="C35" s="7" t="inlineStr">
        <is>
          <t>Attributable NI</t>
        </is>
      </c>
      <c r="D35" s="7" t="inlineStr">
        <is>
          <t>ROE</t>
        </is>
      </c>
      <c r="E35" s="7" t="inlineStr">
        <is>
          <t>Levered Ke</t>
        </is>
      </c>
    </row>
    <row r="36">
      <c r="B36" s="35" t="inlineStr">
        <is>
          <t>No</t>
        </is>
      </c>
      <c r="C36" s="9" t="n">
        <v>295.5117925896593</v>
      </c>
      <c r="D36" s="12" t="n">
        <v>0.01425320500539295</v>
      </c>
      <c r="E36" s="12" t="n">
        <v>0.2582789398618482</v>
      </c>
    </row>
    <row r="37">
      <c r="B37" s="35" t="inlineStr">
        <is>
          <t>Yes</t>
        </is>
      </c>
      <c r="C37" s="9" t="n">
        <v>973.8275613396595</v>
      </c>
      <c r="D37" s="12" t="n">
        <v>0.05034989590034047</v>
      </c>
      <c r="E37" s="12" t="n">
        <v>0.225424805698621</v>
      </c>
    </row>
    <row r="39">
      <c r="B39" s="3" t="inlineStr">
        <is>
          <t>Net value created for Adani (₹ Cr): offer price × run-rate synergies</t>
        </is>
      </c>
      <c r="C39" s="4" t="n"/>
      <c r="D39" s="4" t="n"/>
      <c r="E39" s="4" t="n"/>
      <c r="F39" s="4" t="n"/>
      <c r="G39" s="4" t="n"/>
      <c r="H39" s="4" t="n"/>
    </row>
    <row r="40">
      <c r="B40" s="7" t="inlineStr">
        <is>
          <t>Price \ Synergies</t>
        </is>
      </c>
      <c r="C40" s="36" t="n">
        <v>0</v>
      </c>
      <c r="D40" s="36" t="n">
        <v>1000</v>
      </c>
      <c r="E40" s="36" t="n">
        <v>2000</v>
      </c>
      <c r="F40" s="36" t="n">
        <v>3100</v>
      </c>
      <c r="G40" s="36" t="n">
        <v>4000</v>
      </c>
      <c r="H40" s="36" t="n">
        <v>5000</v>
      </c>
    </row>
    <row r="41">
      <c r="B41" s="33" t="n">
        <v>0.95</v>
      </c>
      <c r="C41" s="9" t="n">
        <v>-2329.449060916838</v>
      </c>
      <c r="D41" s="9" t="n">
        <v>1419.293073133704</v>
      </c>
      <c r="E41" s="9" t="n">
        <v>5168.035207184245</v>
      </c>
      <c r="F41" s="9" t="n">
        <v>9291.651554639842</v>
      </c>
      <c r="G41" s="9" t="n">
        <v>12665.51947528533</v>
      </c>
      <c r="H41" s="9" t="n">
        <v>16414.26160933587</v>
      </c>
    </row>
    <row r="42">
      <c r="B42" s="33" t="n">
        <v>1</v>
      </c>
      <c r="C42" s="9" t="n">
        <v>-4912.116468346839</v>
      </c>
      <c r="D42" s="9" t="n">
        <v>-1163.374334296296</v>
      </c>
      <c r="E42" s="9" t="n">
        <v>2585.367799754245</v>
      </c>
      <c r="F42" s="9" t="n">
        <v>6708.984147209842</v>
      </c>
      <c r="G42" s="9" t="n">
        <v>10082.85206785533</v>
      </c>
      <c r="H42" s="9" t="n">
        <v>13831.59420190587</v>
      </c>
    </row>
    <row r="43">
      <c r="B43" s="33" t="n">
        <v>1.05</v>
      </c>
      <c r="C43" s="9" t="n">
        <v>-7494.783875776839</v>
      </c>
      <c r="D43" s="9" t="n">
        <v>-3746.041741726296</v>
      </c>
      <c r="E43" s="9" t="n">
        <v>2.700392324245513</v>
      </c>
      <c r="F43" s="9" t="n">
        <v>4126.316739779842</v>
      </c>
      <c r="G43" s="9" t="n">
        <v>7500.18466042533</v>
      </c>
      <c r="H43" s="9" t="n">
        <v>11248.92679447587</v>
      </c>
    </row>
    <row r="44">
      <c r="B44" s="33" t="n">
        <v>1.1</v>
      </c>
      <c r="C44" s="9" t="n">
        <v>-10077.45128320684</v>
      </c>
      <c r="D44" s="9" t="n">
        <v>-6328.709149156302</v>
      </c>
      <c r="E44" s="9" t="n">
        <v>-2579.967015105761</v>
      </c>
      <c r="F44" s="9" t="n">
        <v>1543.649332349836</v>
      </c>
      <c r="G44" s="9" t="n">
        <v>4917.517252995323</v>
      </c>
      <c r="H44" s="9" t="n">
        <v>8666.259387045862</v>
      </c>
    </row>
    <row r="45">
      <c r="B45" s="33" t="n">
        <v>1.15</v>
      </c>
      <c r="C45" s="9" t="n">
        <v>-12660.11869063683</v>
      </c>
      <c r="D45" s="9" t="n">
        <v>-8911.37655658629</v>
      </c>
      <c r="E45" s="9" t="n">
        <v>-5162.634422535749</v>
      </c>
      <c r="F45" s="9" t="n">
        <v>-1039.018075080152</v>
      </c>
      <c r="G45" s="9" t="n">
        <v>2334.849845565335</v>
      </c>
      <c r="H45" s="9" t="n">
        <v>6083.591979615874</v>
      </c>
    </row>
    <row r="46">
      <c r="B46" s="33" t="n">
        <v>1.2</v>
      </c>
      <c r="C46" s="9" t="n">
        <v>-15242.78609806684</v>
      </c>
      <c r="D46" s="9" t="n">
        <v>-11494.0439640163</v>
      </c>
      <c r="E46" s="9" t="n">
        <v>-7745.301829965755</v>
      </c>
      <c r="F46" s="9" t="n">
        <v>-3621.685482510158</v>
      </c>
      <c r="G46" s="9" t="n">
        <v>-247.817561864671</v>
      </c>
      <c r="H46" s="9" t="n">
        <v>3500.924572185868</v>
      </c>
    </row>
    <row r="48">
      <c r="B48" s="3" t="inlineStr">
        <is>
          <t>Cash ROIC FY2025E: offer price × run-rate synergies</t>
        </is>
      </c>
      <c r="C48" s="4" t="n"/>
      <c r="D48" s="4" t="n"/>
      <c r="E48" s="4" t="n"/>
      <c r="F48" s="4" t="n"/>
      <c r="G48" s="4" t="n"/>
      <c r="H48" s="4" t="n"/>
    </row>
    <row r="49">
      <c r="B49" s="7" t="inlineStr">
        <is>
          <t>Price \ Synergies</t>
        </is>
      </c>
      <c r="C49" s="36" t="n">
        <v>0</v>
      </c>
      <c r="D49" s="36" t="n">
        <v>1000</v>
      </c>
      <c r="E49" s="36" t="n">
        <v>2000</v>
      </c>
      <c r="F49" s="36" t="n">
        <v>3100</v>
      </c>
      <c r="G49" s="36" t="n">
        <v>4000</v>
      </c>
      <c r="H49" s="36" t="n">
        <v>5000</v>
      </c>
    </row>
    <row r="50">
      <c r="B50" s="33" t="n">
        <v>0.95</v>
      </c>
      <c r="C50" s="11" t="n">
        <v>0.04564196024405404</v>
      </c>
      <c r="D50" s="11" t="n">
        <v>0.05355469926352532</v>
      </c>
      <c r="E50" s="11" t="n">
        <v>0.0614674382829966</v>
      </c>
      <c r="F50" s="11" t="n">
        <v>0.07017145120441502</v>
      </c>
      <c r="G50" s="11" t="n">
        <v>0.07729291632193917</v>
      </c>
      <c r="H50" s="11" t="n">
        <v>0.08520565534141046</v>
      </c>
    </row>
    <row r="51">
      <c r="B51" s="33" t="n">
        <v>1</v>
      </c>
      <c r="C51" s="11" t="n">
        <v>0.04335986223185134</v>
      </c>
      <c r="D51" s="11" t="n">
        <v>0.05087696430034905</v>
      </c>
      <c r="E51" s="11" t="n">
        <v>0.05839406636884678</v>
      </c>
      <c r="F51" s="11" t="n">
        <v>0.06666287864419426</v>
      </c>
      <c r="G51" s="11" t="n">
        <v>0.07342827050584222</v>
      </c>
      <c r="H51" s="11" t="n">
        <v>0.08094537257433992</v>
      </c>
    </row>
    <row r="52">
      <c r="B52" s="33" t="n">
        <v>1.05</v>
      </c>
      <c r="C52" s="11" t="n">
        <v>0.04129510688747746</v>
      </c>
      <c r="D52" s="11" t="n">
        <v>0.04845425171461814</v>
      </c>
      <c r="E52" s="11" t="n">
        <v>0.05561339654175883</v>
      </c>
      <c r="F52" s="11" t="n">
        <v>0.06348845585161358</v>
      </c>
      <c r="G52" s="11" t="n">
        <v>0.0699316861960402</v>
      </c>
      <c r="H52" s="11" t="n">
        <v>0.07709083102318089</v>
      </c>
    </row>
    <row r="53">
      <c r="B53" s="33" t="n">
        <v>1.1</v>
      </c>
      <c r="C53" s="11" t="n">
        <v>0.0394180565744103</v>
      </c>
      <c r="D53" s="11" t="n">
        <v>0.04625178572759005</v>
      </c>
      <c r="E53" s="11" t="n">
        <v>0.0530855148807698</v>
      </c>
      <c r="F53" s="11" t="n">
        <v>0.06060261694926752</v>
      </c>
      <c r="G53" s="11" t="n">
        <v>0.06675297318712929</v>
      </c>
      <c r="H53" s="11" t="n">
        <v>0.07358670234030903</v>
      </c>
    </row>
    <row r="54">
      <c r="B54" s="33" t="n">
        <v>1.15</v>
      </c>
      <c r="C54" s="11" t="n">
        <v>0.03770422802769682</v>
      </c>
      <c r="D54" s="11" t="n">
        <v>0.04424083852204266</v>
      </c>
      <c r="E54" s="11" t="n">
        <v>0.0507774490163885</v>
      </c>
      <c r="F54" s="11" t="n">
        <v>0.05796772056016894</v>
      </c>
      <c r="G54" s="11" t="n">
        <v>0.0638506700050802</v>
      </c>
      <c r="H54" s="11" t="n">
        <v>0.07038728049942604</v>
      </c>
    </row>
    <row r="55">
      <c r="B55" s="33" t="n">
        <v>1.2</v>
      </c>
      <c r="C55" s="11" t="n">
        <v>0.03613321852654278</v>
      </c>
      <c r="D55" s="11" t="n">
        <v>0.04239747025029088</v>
      </c>
      <c r="E55" s="11" t="n">
        <v>0.04866172197403898</v>
      </c>
      <c r="F55" s="11" t="n">
        <v>0.0555523988701619</v>
      </c>
      <c r="G55" s="11" t="n">
        <v>0.06119022542153519</v>
      </c>
      <c r="H55" s="11" t="n">
        <v>0.06745447714528328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H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70" customWidth="1" min="8" max="8"/>
  </cols>
  <sheetData>
    <row r="1">
      <c r="B1" s="1" t="inlineStr">
        <is>
          <t>Historical standalone financials (filed)</t>
        </is>
      </c>
    </row>
    <row r="2">
      <c r="B2" s="2" t="inlineStr">
        <is>
          <t>Source: company filings via Screener.in. Year ended 31 December.</t>
        </is>
      </c>
    </row>
    <row r="4">
      <c r="B4" s="3" t="inlineStr">
        <is>
          <t>Ambuja Cements</t>
        </is>
      </c>
      <c r="C4" s="4" t="n"/>
      <c r="D4" s="4" t="n"/>
      <c r="E4" s="4" t="n"/>
      <c r="F4" s="4" t="n"/>
      <c r="G4" s="4" t="n"/>
      <c r="H4" s="4" t="n"/>
    </row>
    <row r="5">
      <c r="B5" s="6" t="inlineStr">
        <is>
          <t>INR crore</t>
        </is>
      </c>
      <c r="C5" s="6" t="inlineStr">
        <is>
          <t>CY2019</t>
        </is>
      </c>
      <c r="D5" s="6" t="inlineStr">
        <is>
          <t>CY2020</t>
        </is>
      </c>
      <c r="E5" s="6" t="inlineStr">
        <is>
          <t>CY2021</t>
        </is>
      </c>
      <c r="F5" s="6" t="inlineStr">
        <is>
          <t>Check: EBITDA = revenue − opex</t>
        </is>
      </c>
    </row>
    <row r="6">
      <c r="B6" s="5" t="inlineStr">
        <is>
          <t>Revenue</t>
        </is>
      </c>
      <c r="C6" s="24" t="n">
        <v>11668</v>
      </c>
      <c r="D6" s="24" t="n">
        <v>11372</v>
      </c>
      <c r="E6" s="24" t="n">
        <v>13979</v>
      </c>
    </row>
    <row r="7">
      <c r="B7" s="5" t="inlineStr">
        <is>
          <t>Operating expenses</t>
        </is>
      </c>
      <c r="C7" s="24" t="n">
        <v>9519</v>
      </c>
      <c r="D7" s="24" t="n">
        <v>8725</v>
      </c>
      <c r="E7" s="24" t="n">
        <v>10764</v>
      </c>
    </row>
    <row r="8">
      <c r="B8" s="5" t="inlineStr">
        <is>
          <t>Ebitda</t>
        </is>
      </c>
      <c r="C8" s="24" t="n">
        <v>2149</v>
      </c>
      <c r="D8" s="24" t="n">
        <v>2647</v>
      </c>
      <c r="E8" s="24" t="n">
        <v>3215</v>
      </c>
    </row>
    <row r="9">
      <c r="B9" s="5" t="inlineStr">
        <is>
          <t>Other income normal</t>
        </is>
      </c>
      <c r="C9" s="24" t="n">
        <v>424</v>
      </c>
      <c r="D9" s="24" t="n">
        <v>371</v>
      </c>
      <c r="E9" s="24" t="n">
        <v>281</v>
      </c>
    </row>
    <row r="10">
      <c r="B10" s="5" t="inlineStr">
        <is>
          <t>Exceptional items</t>
        </is>
      </c>
      <c r="C10" s="24" t="n">
        <v>3</v>
      </c>
      <c r="D10" s="24" t="n">
        <v>1</v>
      </c>
      <c r="E10" s="24" t="n">
        <v>-66</v>
      </c>
    </row>
    <row r="11">
      <c r="B11" s="5" t="inlineStr">
        <is>
          <t>Interest expense</t>
        </is>
      </c>
      <c r="C11" s="24" t="n">
        <v>84</v>
      </c>
      <c r="D11" s="24" t="n">
        <v>83</v>
      </c>
      <c r="E11" s="24" t="n">
        <v>91</v>
      </c>
    </row>
    <row r="12">
      <c r="B12" s="5" t="inlineStr">
        <is>
          <t>Depreciation</t>
        </is>
      </c>
      <c r="C12" s="24" t="n">
        <v>544</v>
      </c>
      <c r="D12" s="24" t="n">
        <v>521</v>
      </c>
      <c r="E12" s="24" t="n">
        <v>552</v>
      </c>
    </row>
    <row r="13">
      <c r="B13" s="5" t="inlineStr">
        <is>
          <t>Pbt</t>
        </is>
      </c>
      <c r="C13" s="24" t="n">
        <v>1948</v>
      </c>
      <c r="D13" s="24" t="n">
        <v>2414</v>
      </c>
      <c r="E13" s="24" t="n">
        <v>2788</v>
      </c>
    </row>
    <row r="14">
      <c r="B14" s="5" t="inlineStr">
        <is>
          <t>Net income</t>
        </is>
      </c>
      <c r="C14" s="24" t="n">
        <v>1529</v>
      </c>
      <c r="D14" s="24" t="n">
        <v>1790</v>
      </c>
      <c r="E14" s="24" t="n">
        <v>2083</v>
      </c>
    </row>
    <row r="15">
      <c r="B15" s="5" t="inlineStr">
        <is>
          <t>Eps</t>
        </is>
      </c>
      <c r="C15" s="26" t="n">
        <v>7.7</v>
      </c>
      <c r="D15" s="26" t="n">
        <v>9.02</v>
      </c>
      <c r="E15" s="26" t="n">
        <v>10.49</v>
      </c>
    </row>
    <row r="16">
      <c r="B16" s="5" t="inlineStr">
        <is>
          <t>Dividend payout pct</t>
        </is>
      </c>
      <c r="C16" s="24" t="n">
        <v>19</v>
      </c>
      <c r="D16" s="24" t="n">
        <v>200</v>
      </c>
      <c r="E16" s="24" t="n">
        <v>60</v>
      </c>
    </row>
    <row r="17">
      <c r="B17" s="2" t="inlineStr">
        <is>
          <t>EBITDA tie-out (should be 0)</t>
        </is>
      </c>
      <c r="C17" s="9">
        <f>C6-C7-C8</f>
        <v>0.0</v>
      </c>
      <c r="D17" s="9">
        <f>D6-D7-D8</f>
        <v>0.0</v>
      </c>
      <c r="E17" s="9">
        <f>E6-E7-E8</f>
        <v>0.0</v>
      </c>
    </row>
    <row r="19">
      <c r="B19" s="3" t="inlineStr">
        <is>
          <t>ACC Ltd</t>
        </is>
      </c>
      <c r="C19" s="4" t="n"/>
      <c r="D19" s="4" t="n"/>
      <c r="E19" s="4" t="n"/>
      <c r="F19" s="4" t="n"/>
      <c r="G19" s="4" t="n"/>
      <c r="H19" s="4" t="n"/>
    </row>
    <row r="20">
      <c r="B20" s="6" t="inlineStr">
        <is>
          <t>INR crore</t>
        </is>
      </c>
      <c r="C20" s="6" t="inlineStr">
        <is>
          <t>CY2019</t>
        </is>
      </c>
      <c r="D20" s="6" t="inlineStr">
        <is>
          <t>CY2020</t>
        </is>
      </c>
      <c r="E20" s="6" t="inlineStr">
        <is>
          <t>CY2021</t>
        </is>
      </c>
      <c r="F20" s="6" t="inlineStr">
        <is>
          <t>Check: EBITDA = revenue − opex</t>
        </is>
      </c>
    </row>
    <row r="21">
      <c r="B21" s="5" t="inlineStr">
        <is>
          <t>Revenue</t>
        </is>
      </c>
      <c r="C21" s="24" t="n">
        <v>15657</v>
      </c>
      <c r="D21" s="24" t="n">
        <v>13785</v>
      </c>
      <c r="E21" s="24" t="n">
        <v>16151</v>
      </c>
    </row>
    <row r="22">
      <c r="B22" s="5" t="inlineStr">
        <is>
          <t>Operating expenses</t>
        </is>
      </c>
      <c r="C22" s="24" t="n">
        <v>13247</v>
      </c>
      <c r="D22" s="24" t="n">
        <v>11432</v>
      </c>
      <c r="E22" s="24" t="n">
        <v>13151</v>
      </c>
    </row>
    <row r="23">
      <c r="B23" s="5" t="inlineStr">
        <is>
          <t>Ebitda</t>
        </is>
      </c>
      <c r="C23" s="24" t="n">
        <v>2409</v>
      </c>
      <c r="D23" s="24" t="n">
        <v>2352</v>
      </c>
      <c r="E23" s="24" t="n">
        <v>3000</v>
      </c>
    </row>
    <row r="24">
      <c r="B24" s="5" t="inlineStr">
        <is>
          <t>Other income normal</t>
        </is>
      </c>
      <c r="C24" s="24" t="n">
        <v>287</v>
      </c>
      <c r="D24" s="24" t="n">
        <v>204</v>
      </c>
      <c r="E24" s="24" t="n">
        <v>203</v>
      </c>
    </row>
    <row r="25">
      <c r="B25" s="5" t="inlineStr">
        <is>
          <t>Exceptional items</t>
        </is>
      </c>
      <c r="C25" s="24" t="n">
        <v>24</v>
      </c>
      <c r="D25" s="24" t="n">
        <v>-176</v>
      </c>
      <c r="E25" s="24" t="n">
        <v>-91</v>
      </c>
    </row>
    <row r="26">
      <c r="B26" s="5" t="inlineStr">
        <is>
          <t>Interest expense</t>
        </is>
      </c>
      <c r="C26" s="24" t="n">
        <v>86</v>
      </c>
      <c r="D26" s="24" t="n">
        <v>57</v>
      </c>
      <c r="E26" s="24" t="n">
        <v>55</v>
      </c>
    </row>
    <row r="27">
      <c r="B27" s="5" t="inlineStr">
        <is>
          <t>Depreciation</t>
        </is>
      </c>
      <c r="C27" s="24" t="n">
        <v>603</v>
      </c>
      <c r="D27" s="24" t="n">
        <v>635</v>
      </c>
      <c r="E27" s="24" t="n">
        <v>597</v>
      </c>
    </row>
    <row r="28">
      <c r="B28" s="5" t="inlineStr">
        <is>
          <t>Pbt</t>
        </is>
      </c>
      <c r="C28" s="24" t="n">
        <v>2031</v>
      </c>
      <c r="D28" s="24" t="n">
        <v>1688</v>
      </c>
      <c r="E28" s="24" t="n">
        <v>2460</v>
      </c>
    </row>
    <row r="29">
      <c r="B29" s="5" t="inlineStr">
        <is>
          <t>Net income</t>
        </is>
      </c>
      <c r="C29" s="24" t="n">
        <v>1359</v>
      </c>
      <c r="D29" s="24" t="n">
        <v>1415</v>
      </c>
      <c r="E29" s="24" t="n">
        <v>1820</v>
      </c>
    </row>
    <row r="30">
      <c r="B30" s="5" t="inlineStr">
        <is>
          <t>Eps</t>
        </is>
      </c>
      <c r="C30" s="26" t="n">
        <v>72.36</v>
      </c>
      <c r="D30" s="26" t="n">
        <v>75.34999999999999</v>
      </c>
      <c r="E30" s="26" t="n">
        <v>96.93000000000001</v>
      </c>
    </row>
    <row r="31">
      <c r="B31" s="5" t="inlineStr">
        <is>
          <t>Dividend payout pct</t>
        </is>
      </c>
      <c r="C31" s="24" t="n">
        <v>19</v>
      </c>
      <c r="D31" s="24" t="n">
        <v>19</v>
      </c>
      <c r="E31" s="24" t="n">
        <v>60</v>
      </c>
    </row>
    <row r="32">
      <c r="B32" s="2" t="inlineStr">
        <is>
          <t>EBITDA tie-out (should be 0)</t>
        </is>
      </c>
      <c r="C32" s="9">
        <f>C21-C22-C23</f>
        <v>1.0</v>
      </c>
      <c r="D32" s="9">
        <f>D21-D22-D23</f>
        <v>1.0</v>
      </c>
      <c r="E32" s="9">
        <f>E21-E22-E23</f>
        <v>0.0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2026-10-09T18:13:55Z</dcterms:created>
  <dcterms:modified xmlns:dcterms="http://purl.org/dc/terms/" xmlns:xsi="http://www.w3.org/2001/XMLSchema-instance" xsi:type="dcterms:W3CDTF">2026-10-09T18:13:56Z</dcterms:modified>
</cp:coreProperties>
</file>